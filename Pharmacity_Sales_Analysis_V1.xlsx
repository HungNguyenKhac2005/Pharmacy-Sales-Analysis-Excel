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tables/table5.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Ex1.xml" ContentType="application/vnd.ms-office.chartex+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học Python\Data Science and Atifficial Interligent\Các project data science và AI\Project CV\Excel GGSheet\pharmacy_sales_analysis_excel\"/>
    </mc:Choice>
  </mc:AlternateContent>
  <xr:revisionPtr revIDLastSave="0" documentId="13_ncr:1_{13BF553C-0CA3-460A-8A84-D6B80BC9137C}" xr6:coauthVersionLast="47" xr6:coauthVersionMax="47" xr10:uidLastSave="{00000000-0000-0000-0000-000000000000}"/>
  <bookViews>
    <workbookView xWindow="-120" yWindow="-120" windowWidth="29040" windowHeight="15720" activeTab="6" xr2:uid="{00000000-000D-0000-FFFF-FFFF00000000}"/>
  </bookViews>
  <sheets>
    <sheet name="Home" sheetId="2" r:id="rId1"/>
    <sheet name="Raw_data" sheetId="1" r:id="rId2"/>
    <sheet name="Cleanning_data" sheetId="3" r:id="rId3"/>
    <sheet name="Data_analysis" sheetId="8" r:id="rId4"/>
    <sheet name="Dashboardtab1" sheetId="5" r:id="rId5"/>
    <sheet name="Dashboardtab2" sheetId="9" r:id="rId6"/>
    <sheet name="Insights_and_Recomendations" sheetId="6" r:id="rId7"/>
  </sheets>
  <definedNames>
    <definedName name="_xlchart.v1.0" hidden="1">Cleanning_data!$I$19:$I$25</definedName>
    <definedName name="_xlchart.v1.1" hidden="1">Cleanning_data!$J$19:$J$25</definedName>
    <definedName name="Slicer_">#N/A</definedName>
    <definedName name="Slicer_Country">#N/A</definedName>
    <definedName name="Slicer_Months">#N/A</definedName>
    <definedName name="Slicer_Product">#N/A</definedName>
    <definedName name="Slicer_Sales_Person">#N/A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Q6" i="8" l="1"/>
  <c r="Q5" i="8"/>
  <c r="Q4" i="8"/>
  <c r="K5" i="3"/>
  <c r="A2" i="3" l="1"/>
  <c r="B2" i="3"/>
  <c r="C2" i="3"/>
  <c r="D2" i="3"/>
  <c r="E2" i="3"/>
  <c r="F2" i="3"/>
  <c r="A3" i="3"/>
  <c r="B3" i="3"/>
  <c r="C3" i="3"/>
  <c r="D3" i="3"/>
  <c r="E3" i="3"/>
  <c r="F3" i="3"/>
  <c r="A4" i="3"/>
  <c r="B4" i="3"/>
  <c r="C4" i="3"/>
  <c r="D4" i="3"/>
  <c r="E4" i="3"/>
  <c r="F4" i="3"/>
  <c r="A5" i="3"/>
  <c r="B5" i="3"/>
  <c r="C5" i="3"/>
  <c r="D5" i="3"/>
  <c r="E5" i="3"/>
  <c r="F5" i="3"/>
  <c r="A6" i="3"/>
  <c r="B6" i="3"/>
  <c r="C6" i="3"/>
  <c r="D6" i="3"/>
  <c r="E6" i="3"/>
  <c r="F6" i="3"/>
  <c r="A7" i="3"/>
  <c r="B7" i="3"/>
  <c r="C7" i="3"/>
  <c r="D7" i="3"/>
  <c r="E7" i="3"/>
  <c r="F7" i="3"/>
  <c r="A8" i="3"/>
  <c r="B8" i="3"/>
  <c r="C8" i="3"/>
  <c r="D8" i="3"/>
  <c r="E8" i="3"/>
  <c r="F8" i="3"/>
  <c r="A9" i="3"/>
  <c r="B9" i="3"/>
  <c r="C9" i="3"/>
  <c r="D9" i="3"/>
  <c r="E9" i="3"/>
  <c r="F9" i="3"/>
  <c r="A10" i="3"/>
  <c r="B10" i="3"/>
  <c r="C10" i="3"/>
  <c r="D10" i="3"/>
  <c r="E10" i="3"/>
  <c r="F10" i="3"/>
  <c r="A11" i="3"/>
  <c r="B11" i="3"/>
  <c r="C11" i="3"/>
  <c r="D11" i="3"/>
  <c r="E11" i="3"/>
  <c r="F11" i="3"/>
  <c r="A12" i="3"/>
  <c r="B12" i="3"/>
  <c r="C12" i="3"/>
  <c r="D12" i="3"/>
  <c r="E12" i="3"/>
  <c r="F12" i="3"/>
  <c r="A13" i="3"/>
  <c r="B13" i="3"/>
  <c r="C13" i="3"/>
  <c r="D13" i="3"/>
  <c r="E13" i="3"/>
  <c r="F13" i="3"/>
  <c r="A14" i="3"/>
  <c r="B14" i="3"/>
  <c r="C14" i="3"/>
  <c r="D14" i="3"/>
  <c r="E14" i="3"/>
  <c r="F14" i="3"/>
  <c r="A15" i="3"/>
  <c r="B15" i="3"/>
  <c r="C15" i="3"/>
  <c r="D15" i="3"/>
  <c r="E15" i="3"/>
  <c r="F15" i="3"/>
  <c r="A16" i="3"/>
  <c r="B16" i="3"/>
  <c r="C16" i="3"/>
  <c r="D16" i="3"/>
  <c r="E16" i="3"/>
  <c r="F16" i="3"/>
  <c r="A17" i="3"/>
  <c r="B17" i="3"/>
  <c r="C17" i="3"/>
  <c r="D17" i="3"/>
  <c r="E17" i="3"/>
  <c r="F17" i="3"/>
  <c r="A18" i="3"/>
  <c r="B18" i="3"/>
  <c r="C18" i="3"/>
  <c r="D18" i="3"/>
  <c r="E18" i="3"/>
  <c r="F18" i="3"/>
  <c r="A19" i="3"/>
  <c r="B19" i="3"/>
  <c r="C19" i="3"/>
  <c r="D19" i="3"/>
  <c r="E19" i="3"/>
  <c r="F19" i="3"/>
  <c r="A20" i="3"/>
  <c r="B20" i="3"/>
  <c r="C20" i="3"/>
  <c r="D20" i="3"/>
  <c r="E20" i="3"/>
  <c r="F20" i="3"/>
  <c r="A21" i="3"/>
  <c r="B21" i="3"/>
  <c r="C21" i="3"/>
  <c r="D21" i="3"/>
  <c r="E21" i="3"/>
  <c r="F21" i="3"/>
  <c r="A22" i="3"/>
  <c r="B22" i="3"/>
  <c r="C22" i="3"/>
  <c r="D22" i="3"/>
  <c r="E22" i="3"/>
  <c r="F22" i="3"/>
  <c r="A23" i="3"/>
  <c r="B23" i="3"/>
  <c r="C23" i="3"/>
  <c r="D23" i="3"/>
  <c r="E23" i="3"/>
  <c r="F23" i="3"/>
  <c r="A24" i="3"/>
  <c r="B24" i="3"/>
  <c r="C24" i="3"/>
  <c r="D24" i="3"/>
  <c r="E24" i="3"/>
  <c r="F24" i="3"/>
  <c r="A25" i="3"/>
  <c r="B25" i="3"/>
  <c r="C25" i="3"/>
  <c r="D25" i="3"/>
  <c r="E25" i="3"/>
  <c r="F25" i="3"/>
  <c r="A26" i="3"/>
  <c r="B26" i="3"/>
  <c r="C26" i="3"/>
  <c r="D26" i="3"/>
  <c r="E26" i="3"/>
  <c r="F26" i="3"/>
  <c r="A27" i="3"/>
  <c r="B27" i="3"/>
  <c r="C27" i="3"/>
  <c r="D27" i="3"/>
  <c r="E27" i="3"/>
  <c r="F27" i="3"/>
  <c r="A28" i="3"/>
  <c r="B28" i="3"/>
  <c r="C28" i="3"/>
  <c r="D28" i="3"/>
  <c r="E28" i="3"/>
  <c r="F28" i="3"/>
  <c r="A29" i="3"/>
  <c r="B29" i="3"/>
  <c r="C29" i="3"/>
  <c r="D29" i="3"/>
  <c r="E29" i="3"/>
  <c r="F29" i="3"/>
  <c r="A30" i="3"/>
  <c r="B30" i="3"/>
  <c r="C30" i="3"/>
  <c r="D30" i="3"/>
  <c r="E30" i="3"/>
  <c r="F30" i="3"/>
  <c r="A31" i="3"/>
  <c r="B31" i="3"/>
  <c r="C31" i="3"/>
  <c r="D31" i="3"/>
  <c r="E31" i="3"/>
  <c r="F31" i="3"/>
  <c r="A32" i="3"/>
  <c r="B32" i="3"/>
  <c r="C32" i="3"/>
  <c r="D32" i="3"/>
  <c r="E32" i="3"/>
  <c r="F32" i="3"/>
  <c r="A33" i="3"/>
  <c r="B33" i="3"/>
  <c r="C33" i="3"/>
  <c r="D33" i="3"/>
  <c r="E33" i="3"/>
  <c r="F33" i="3"/>
  <c r="A34" i="3"/>
  <c r="B34" i="3"/>
  <c r="C34" i="3"/>
  <c r="D34" i="3"/>
  <c r="E34" i="3"/>
  <c r="F34" i="3"/>
  <c r="A35" i="3"/>
  <c r="B35" i="3"/>
  <c r="C35" i="3"/>
  <c r="D35" i="3"/>
  <c r="E35" i="3"/>
  <c r="F35" i="3"/>
  <c r="A36" i="3"/>
  <c r="B36" i="3"/>
  <c r="C36" i="3"/>
  <c r="D36" i="3"/>
  <c r="E36" i="3"/>
  <c r="F36" i="3"/>
  <c r="A37" i="3"/>
  <c r="B37" i="3"/>
  <c r="C37" i="3"/>
  <c r="D37" i="3"/>
  <c r="E37" i="3"/>
  <c r="F37" i="3"/>
  <c r="A38" i="3"/>
  <c r="B38" i="3"/>
  <c r="C38" i="3"/>
  <c r="D38" i="3"/>
  <c r="E38" i="3"/>
  <c r="F38" i="3"/>
  <c r="A39" i="3"/>
  <c r="B39" i="3"/>
  <c r="C39" i="3"/>
  <c r="D39" i="3"/>
  <c r="E39" i="3"/>
  <c r="F39" i="3"/>
  <c r="A40" i="3"/>
  <c r="B40" i="3"/>
  <c r="C40" i="3"/>
  <c r="D40" i="3"/>
  <c r="E40" i="3"/>
  <c r="F40" i="3"/>
  <c r="A41" i="3"/>
  <c r="B41" i="3"/>
  <c r="C41" i="3"/>
  <c r="D41" i="3"/>
  <c r="E41" i="3"/>
  <c r="F41" i="3"/>
  <c r="A42" i="3"/>
  <c r="B42" i="3"/>
  <c r="C42" i="3"/>
  <c r="D42" i="3"/>
  <c r="E42" i="3"/>
  <c r="F42" i="3"/>
  <c r="A43" i="3"/>
  <c r="B43" i="3"/>
  <c r="C43" i="3"/>
  <c r="D43" i="3"/>
  <c r="E43" i="3"/>
  <c r="F43" i="3"/>
  <c r="A44" i="3"/>
  <c r="B44" i="3"/>
  <c r="C44" i="3"/>
  <c r="D44" i="3"/>
  <c r="E44" i="3"/>
  <c r="F44" i="3"/>
  <c r="A45" i="3"/>
  <c r="B45" i="3"/>
  <c r="C45" i="3"/>
  <c r="D45" i="3"/>
  <c r="E45" i="3"/>
  <c r="F45" i="3"/>
  <c r="A46" i="3"/>
  <c r="B46" i="3"/>
  <c r="C46" i="3"/>
  <c r="D46" i="3"/>
  <c r="E46" i="3"/>
  <c r="F46" i="3"/>
  <c r="A47" i="3"/>
  <c r="B47" i="3"/>
  <c r="C47" i="3"/>
  <c r="D47" i="3"/>
  <c r="E47" i="3"/>
  <c r="F47" i="3"/>
  <c r="A48" i="3"/>
  <c r="B48" i="3"/>
  <c r="C48" i="3"/>
  <c r="D48" i="3"/>
  <c r="E48" i="3"/>
  <c r="F48" i="3"/>
  <c r="A49" i="3"/>
  <c r="B49" i="3"/>
  <c r="C49" i="3"/>
  <c r="D49" i="3"/>
  <c r="E49" i="3"/>
  <c r="F49" i="3"/>
  <c r="A50" i="3"/>
  <c r="B50" i="3"/>
  <c r="C50" i="3"/>
  <c r="D50" i="3"/>
  <c r="E50" i="3"/>
  <c r="F50" i="3"/>
  <c r="A51" i="3"/>
  <c r="B51" i="3"/>
  <c r="C51" i="3"/>
  <c r="D51" i="3"/>
  <c r="E51" i="3"/>
  <c r="F51" i="3"/>
  <c r="A52" i="3"/>
  <c r="B52" i="3"/>
  <c r="C52" i="3"/>
  <c r="D52" i="3"/>
  <c r="E52" i="3"/>
  <c r="F52" i="3"/>
  <c r="A53" i="3"/>
  <c r="B53" i="3"/>
  <c r="C53" i="3"/>
  <c r="D53" i="3"/>
  <c r="E53" i="3"/>
  <c r="F53" i="3"/>
  <c r="A54" i="3"/>
  <c r="B54" i="3"/>
  <c r="C54" i="3"/>
  <c r="D54" i="3"/>
  <c r="E54" i="3"/>
  <c r="F54" i="3"/>
  <c r="A55" i="3"/>
  <c r="B55" i="3"/>
  <c r="C55" i="3"/>
  <c r="D55" i="3"/>
  <c r="E55" i="3"/>
  <c r="F55" i="3"/>
  <c r="A56" i="3"/>
  <c r="B56" i="3"/>
  <c r="C56" i="3"/>
  <c r="D56" i="3"/>
  <c r="E56" i="3"/>
  <c r="F56" i="3"/>
  <c r="A57" i="3"/>
  <c r="B57" i="3"/>
  <c r="C57" i="3"/>
  <c r="D57" i="3"/>
  <c r="E57" i="3"/>
  <c r="F57" i="3"/>
  <c r="A58" i="3"/>
  <c r="B58" i="3"/>
  <c r="C58" i="3"/>
  <c r="D58" i="3"/>
  <c r="E58" i="3"/>
  <c r="F58" i="3"/>
  <c r="A59" i="3"/>
  <c r="B59" i="3"/>
  <c r="C59" i="3"/>
  <c r="D59" i="3"/>
  <c r="E59" i="3"/>
  <c r="F59" i="3"/>
  <c r="A60" i="3"/>
  <c r="B60" i="3"/>
  <c r="C60" i="3"/>
  <c r="D60" i="3"/>
  <c r="E60" i="3"/>
  <c r="F60" i="3"/>
  <c r="A61" i="3"/>
  <c r="B61" i="3"/>
  <c r="C61" i="3"/>
  <c r="D61" i="3"/>
  <c r="E61" i="3"/>
  <c r="F61" i="3"/>
  <c r="A62" i="3"/>
  <c r="B62" i="3"/>
  <c r="C62" i="3"/>
  <c r="D62" i="3"/>
  <c r="E62" i="3"/>
  <c r="F62" i="3"/>
  <c r="A63" i="3"/>
  <c r="B63" i="3"/>
  <c r="C63" i="3"/>
  <c r="D63" i="3"/>
  <c r="E63" i="3"/>
  <c r="F63" i="3"/>
  <c r="A64" i="3"/>
  <c r="B64" i="3"/>
  <c r="C64" i="3"/>
  <c r="D64" i="3"/>
  <c r="E64" i="3"/>
  <c r="F64" i="3"/>
  <c r="A65" i="3"/>
  <c r="B65" i="3"/>
  <c r="C65" i="3"/>
  <c r="D65" i="3"/>
  <c r="E65" i="3"/>
  <c r="F65" i="3"/>
  <c r="A66" i="3"/>
  <c r="B66" i="3"/>
  <c r="C66" i="3"/>
  <c r="D66" i="3"/>
  <c r="E66" i="3"/>
  <c r="F66" i="3"/>
  <c r="A67" i="3"/>
  <c r="B67" i="3"/>
  <c r="C67" i="3"/>
  <c r="D67" i="3"/>
  <c r="E67" i="3"/>
  <c r="F67" i="3"/>
  <c r="A68" i="3"/>
  <c r="B68" i="3"/>
  <c r="C68" i="3"/>
  <c r="D68" i="3"/>
  <c r="E68" i="3"/>
  <c r="F68" i="3"/>
  <c r="A69" i="3"/>
  <c r="B69" i="3"/>
  <c r="C69" i="3"/>
  <c r="D69" i="3"/>
  <c r="E69" i="3"/>
  <c r="F69" i="3"/>
  <c r="A70" i="3"/>
  <c r="B70" i="3"/>
  <c r="C70" i="3"/>
  <c r="D70" i="3"/>
  <c r="E70" i="3"/>
  <c r="F70" i="3"/>
  <c r="A71" i="3"/>
  <c r="B71" i="3"/>
  <c r="C71" i="3"/>
  <c r="D71" i="3"/>
  <c r="E71" i="3"/>
  <c r="F71" i="3"/>
  <c r="A72" i="3"/>
  <c r="B72" i="3"/>
  <c r="C72" i="3"/>
  <c r="D72" i="3"/>
  <c r="E72" i="3"/>
  <c r="F72" i="3"/>
  <c r="A73" i="3"/>
  <c r="B73" i="3"/>
  <c r="C73" i="3"/>
  <c r="D73" i="3"/>
  <c r="E73" i="3"/>
  <c r="F73" i="3"/>
  <c r="A74" i="3"/>
  <c r="B74" i="3"/>
  <c r="C74" i="3"/>
  <c r="D74" i="3"/>
  <c r="E74" i="3"/>
  <c r="F74" i="3"/>
  <c r="A75" i="3"/>
  <c r="B75" i="3"/>
  <c r="C75" i="3"/>
  <c r="D75" i="3"/>
  <c r="E75" i="3"/>
  <c r="F75" i="3"/>
  <c r="A76" i="3"/>
  <c r="B76" i="3"/>
  <c r="C76" i="3"/>
  <c r="D76" i="3"/>
  <c r="E76" i="3"/>
  <c r="F76" i="3"/>
  <c r="A77" i="3"/>
  <c r="B77" i="3"/>
  <c r="C77" i="3"/>
  <c r="D77" i="3"/>
  <c r="E77" i="3"/>
  <c r="F77" i="3"/>
  <c r="A78" i="3"/>
  <c r="B78" i="3"/>
  <c r="C78" i="3"/>
  <c r="D78" i="3"/>
  <c r="E78" i="3"/>
  <c r="F78" i="3"/>
  <c r="A79" i="3"/>
  <c r="B79" i="3"/>
  <c r="C79" i="3"/>
  <c r="D79" i="3"/>
  <c r="E79" i="3"/>
  <c r="F79" i="3"/>
  <c r="A80" i="3"/>
  <c r="B80" i="3"/>
  <c r="C80" i="3"/>
  <c r="D80" i="3"/>
  <c r="E80" i="3"/>
  <c r="F80" i="3"/>
  <c r="A81" i="3"/>
  <c r="B81" i="3"/>
  <c r="C81" i="3"/>
  <c r="D81" i="3"/>
  <c r="E81" i="3"/>
  <c r="F81" i="3"/>
  <c r="A82" i="3"/>
  <c r="B82" i="3"/>
  <c r="C82" i="3"/>
  <c r="D82" i="3"/>
  <c r="E82" i="3"/>
  <c r="F82" i="3"/>
  <c r="A83" i="3"/>
  <c r="B83" i="3"/>
  <c r="C83" i="3"/>
  <c r="D83" i="3"/>
  <c r="E83" i="3"/>
  <c r="F83" i="3"/>
  <c r="A84" i="3"/>
  <c r="B84" i="3"/>
  <c r="C84" i="3"/>
  <c r="D84" i="3"/>
  <c r="E84" i="3"/>
  <c r="F84" i="3"/>
  <c r="A85" i="3"/>
  <c r="B85" i="3"/>
  <c r="C85" i="3"/>
  <c r="D85" i="3"/>
  <c r="E85" i="3"/>
  <c r="F85" i="3"/>
  <c r="A86" i="3"/>
  <c r="B86" i="3"/>
  <c r="C86" i="3"/>
  <c r="D86" i="3"/>
  <c r="E86" i="3"/>
  <c r="F86" i="3"/>
  <c r="A87" i="3"/>
  <c r="B87" i="3"/>
  <c r="C87" i="3"/>
  <c r="D87" i="3"/>
  <c r="E87" i="3"/>
  <c r="F87" i="3"/>
  <c r="A88" i="3"/>
  <c r="B88" i="3"/>
  <c r="C88" i="3"/>
  <c r="D88" i="3"/>
  <c r="E88" i="3"/>
  <c r="F88" i="3"/>
  <c r="A89" i="3"/>
  <c r="B89" i="3"/>
  <c r="C89" i="3"/>
  <c r="D89" i="3"/>
  <c r="E89" i="3"/>
  <c r="F89" i="3"/>
  <c r="A90" i="3"/>
  <c r="B90" i="3"/>
  <c r="C90" i="3"/>
  <c r="D90" i="3"/>
  <c r="E90" i="3"/>
  <c r="F90" i="3"/>
  <c r="A91" i="3"/>
  <c r="B91" i="3"/>
  <c r="C91" i="3"/>
  <c r="D91" i="3"/>
  <c r="E91" i="3"/>
  <c r="F91" i="3"/>
  <c r="A92" i="3"/>
  <c r="B92" i="3"/>
  <c r="C92" i="3"/>
  <c r="D92" i="3"/>
  <c r="E92" i="3"/>
  <c r="F92" i="3"/>
  <c r="A93" i="3"/>
  <c r="B93" i="3"/>
  <c r="C93" i="3"/>
  <c r="D93" i="3"/>
  <c r="E93" i="3"/>
  <c r="F93" i="3"/>
  <c r="A94" i="3"/>
  <c r="B94" i="3"/>
  <c r="C94" i="3"/>
  <c r="D94" i="3"/>
  <c r="E94" i="3"/>
  <c r="F94" i="3"/>
  <c r="A95" i="3"/>
  <c r="B95" i="3"/>
  <c r="C95" i="3"/>
  <c r="D95" i="3"/>
  <c r="E95" i="3"/>
  <c r="F95" i="3"/>
  <c r="A96" i="3"/>
  <c r="B96" i="3"/>
  <c r="C96" i="3"/>
  <c r="D96" i="3"/>
  <c r="E96" i="3"/>
  <c r="F96" i="3"/>
  <c r="A97" i="3"/>
  <c r="B97" i="3"/>
  <c r="C97" i="3"/>
  <c r="D97" i="3"/>
  <c r="E97" i="3"/>
  <c r="F97" i="3"/>
  <c r="A98" i="3"/>
  <c r="B98" i="3"/>
  <c r="C98" i="3"/>
  <c r="D98" i="3"/>
  <c r="E98" i="3"/>
  <c r="F98" i="3"/>
  <c r="A99" i="3"/>
  <c r="B99" i="3"/>
  <c r="C99" i="3"/>
  <c r="D99" i="3"/>
  <c r="E99" i="3"/>
  <c r="F99" i="3"/>
  <c r="A100" i="3"/>
  <c r="B100" i="3"/>
  <c r="C100" i="3"/>
  <c r="D100" i="3"/>
  <c r="E100" i="3"/>
  <c r="F100" i="3"/>
  <c r="A101" i="3"/>
  <c r="B101" i="3"/>
  <c r="C101" i="3"/>
  <c r="D101" i="3"/>
  <c r="E101" i="3"/>
  <c r="F101" i="3"/>
  <c r="A102" i="3"/>
  <c r="B102" i="3"/>
  <c r="C102" i="3"/>
  <c r="D102" i="3"/>
  <c r="E102" i="3"/>
  <c r="F102" i="3"/>
  <c r="A103" i="3"/>
  <c r="B103" i="3"/>
  <c r="C103" i="3"/>
  <c r="D103" i="3"/>
  <c r="E103" i="3"/>
  <c r="F103" i="3"/>
  <c r="A104" i="3"/>
  <c r="B104" i="3"/>
  <c r="C104" i="3"/>
  <c r="D104" i="3"/>
  <c r="E104" i="3"/>
  <c r="F104" i="3"/>
  <c r="A105" i="3"/>
  <c r="B105" i="3"/>
  <c r="C105" i="3"/>
  <c r="D105" i="3"/>
  <c r="E105" i="3"/>
  <c r="F105" i="3"/>
  <c r="A106" i="3"/>
  <c r="B106" i="3"/>
  <c r="C106" i="3"/>
  <c r="D106" i="3"/>
  <c r="E106" i="3"/>
  <c r="F106" i="3"/>
  <c r="A107" i="3"/>
  <c r="B107" i="3"/>
  <c r="C107" i="3"/>
  <c r="D107" i="3"/>
  <c r="E107" i="3"/>
  <c r="F107" i="3"/>
  <c r="A108" i="3"/>
  <c r="B108" i="3"/>
  <c r="C108" i="3"/>
  <c r="D108" i="3"/>
  <c r="E108" i="3"/>
  <c r="F108" i="3"/>
  <c r="A109" i="3"/>
  <c r="B109" i="3"/>
  <c r="C109" i="3"/>
  <c r="D109" i="3"/>
  <c r="E109" i="3"/>
  <c r="F109" i="3"/>
  <c r="A110" i="3"/>
  <c r="B110" i="3"/>
  <c r="C110" i="3"/>
  <c r="D110" i="3"/>
  <c r="E110" i="3"/>
  <c r="F110" i="3"/>
  <c r="A111" i="3"/>
  <c r="B111" i="3"/>
  <c r="C111" i="3"/>
  <c r="D111" i="3"/>
  <c r="E111" i="3"/>
  <c r="F111" i="3"/>
  <c r="A112" i="3"/>
  <c r="B112" i="3"/>
  <c r="C112" i="3"/>
  <c r="D112" i="3"/>
  <c r="E112" i="3"/>
  <c r="F112" i="3"/>
  <c r="A113" i="3"/>
  <c r="B113" i="3"/>
  <c r="C113" i="3"/>
  <c r="D113" i="3"/>
  <c r="E113" i="3"/>
  <c r="F113" i="3"/>
  <c r="A114" i="3"/>
  <c r="B114" i="3"/>
  <c r="C114" i="3"/>
  <c r="D114" i="3"/>
  <c r="E114" i="3"/>
  <c r="F114" i="3"/>
  <c r="A115" i="3"/>
  <c r="B115" i="3"/>
  <c r="C115" i="3"/>
  <c r="D115" i="3"/>
  <c r="E115" i="3"/>
  <c r="F115" i="3"/>
  <c r="A116" i="3"/>
  <c r="B116" i="3"/>
  <c r="C116" i="3"/>
  <c r="D116" i="3"/>
  <c r="E116" i="3"/>
  <c r="F116" i="3"/>
  <c r="A117" i="3"/>
  <c r="B117" i="3"/>
  <c r="C117" i="3"/>
  <c r="D117" i="3"/>
  <c r="E117" i="3"/>
  <c r="F117" i="3"/>
  <c r="A118" i="3"/>
  <c r="B118" i="3"/>
  <c r="C118" i="3"/>
  <c r="D118" i="3"/>
  <c r="E118" i="3"/>
  <c r="F118" i="3"/>
  <c r="A119" i="3"/>
  <c r="B119" i="3"/>
  <c r="C119" i="3"/>
  <c r="D119" i="3"/>
  <c r="E119" i="3"/>
  <c r="F119" i="3"/>
  <c r="A120" i="3"/>
  <c r="B120" i="3"/>
  <c r="C120" i="3"/>
  <c r="D120" i="3"/>
  <c r="E120" i="3"/>
  <c r="F120" i="3"/>
  <c r="A121" i="3"/>
  <c r="B121" i="3"/>
  <c r="C121" i="3"/>
  <c r="D121" i="3"/>
  <c r="E121" i="3"/>
  <c r="F121" i="3"/>
  <c r="A122" i="3"/>
  <c r="B122" i="3"/>
  <c r="C122" i="3"/>
  <c r="D122" i="3"/>
  <c r="E122" i="3"/>
  <c r="F122" i="3"/>
  <c r="A123" i="3"/>
  <c r="B123" i="3"/>
  <c r="C123" i="3"/>
  <c r="D123" i="3"/>
  <c r="E123" i="3"/>
  <c r="F123" i="3"/>
  <c r="A124" i="3"/>
  <c r="B124" i="3"/>
  <c r="C124" i="3"/>
  <c r="D124" i="3"/>
  <c r="E124" i="3"/>
  <c r="F124" i="3"/>
  <c r="A125" i="3"/>
  <c r="B125" i="3"/>
  <c r="C125" i="3"/>
  <c r="D125" i="3"/>
  <c r="E125" i="3"/>
  <c r="F125" i="3"/>
  <c r="A126" i="3"/>
  <c r="B126" i="3"/>
  <c r="C126" i="3"/>
  <c r="D126" i="3"/>
  <c r="E126" i="3"/>
  <c r="F126" i="3"/>
  <c r="A127" i="3"/>
  <c r="B127" i="3"/>
  <c r="C127" i="3"/>
  <c r="D127" i="3"/>
  <c r="E127" i="3"/>
  <c r="F127" i="3"/>
  <c r="A128" i="3"/>
  <c r="B128" i="3"/>
  <c r="C128" i="3"/>
  <c r="D128" i="3"/>
  <c r="E128" i="3"/>
  <c r="F128" i="3"/>
  <c r="A129" i="3"/>
  <c r="B129" i="3"/>
  <c r="C129" i="3"/>
  <c r="D129" i="3"/>
  <c r="E129" i="3"/>
  <c r="F129" i="3"/>
  <c r="A130" i="3"/>
  <c r="B130" i="3"/>
  <c r="C130" i="3"/>
  <c r="D130" i="3"/>
  <c r="E130" i="3"/>
  <c r="F130" i="3"/>
  <c r="A131" i="3"/>
  <c r="B131" i="3"/>
  <c r="C131" i="3"/>
  <c r="D131" i="3"/>
  <c r="E131" i="3"/>
  <c r="F131" i="3"/>
  <c r="A132" i="3"/>
  <c r="B132" i="3"/>
  <c r="C132" i="3"/>
  <c r="D132" i="3"/>
  <c r="E132" i="3"/>
  <c r="F132" i="3"/>
  <c r="A133" i="3"/>
  <c r="B133" i="3"/>
  <c r="C133" i="3"/>
  <c r="D133" i="3"/>
  <c r="E133" i="3"/>
  <c r="F133" i="3"/>
  <c r="A134" i="3"/>
  <c r="B134" i="3"/>
  <c r="C134" i="3"/>
  <c r="D134" i="3"/>
  <c r="E134" i="3"/>
  <c r="F134" i="3"/>
  <c r="A135" i="3"/>
  <c r="B135" i="3"/>
  <c r="C135" i="3"/>
  <c r="D135" i="3"/>
  <c r="E135" i="3"/>
  <c r="F135" i="3"/>
  <c r="A136" i="3"/>
  <c r="B136" i="3"/>
  <c r="C136" i="3"/>
  <c r="D136" i="3"/>
  <c r="E136" i="3"/>
  <c r="F136" i="3"/>
  <c r="A137" i="3"/>
  <c r="B137" i="3"/>
  <c r="C137" i="3"/>
  <c r="D137" i="3"/>
  <c r="E137" i="3"/>
  <c r="F137" i="3"/>
  <c r="A138" i="3"/>
  <c r="B138" i="3"/>
  <c r="C138" i="3"/>
  <c r="D138" i="3"/>
  <c r="E138" i="3"/>
  <c r="F138" i="3"/>
  <c r="A139" i="3"/>
  <c r="B139" i="3"/>
  <c r="C139" i="3"/>
  <c r="D139" i="3"/>
  <c r="E139" i="3"/>
  <c r="F139" i="3"/>
  <c r="A140" i="3"/>
  <c r="B140" i="3"/>
  <c r="C140" i="3"/>
  <c r="D140" i="3"/>
  <c r="E140" i="3"/>
  <c r="F140" i="3"/>
  <c r="A141" i="3"/>
  <c r="B141" i="3"/>
  <c r="C141" i="3"/>
  <c r="D141" i="3"/>
  <c r="E141" i="3"/>
  <c r="F141" i="3"/>
  <c r="A142" i="3"/>
  <c r="B142" i="3"/>
  <c r="C142" i="3"/>
  <c r="D142" i="3"/>
  <c r="E142" i="3"/>
  <c r="F142" i="3"/>
  <c r="A143" i="3"/>
  <c r="B143" i="3"/>
  <c r="C143" i="3"/>
  <c r="D143" i="3"/>
  <c r="E143" i="3"/>
  <c r="F143" i="3"/>
  <c r="A144" i="3"/>
  <c r="B144" i="3"/>
  <c r="C144" i="3"/>
  <c r="D144" i="3"/>
  <c r="E144" i="3"/>
  <c r="F144" i="3"/>
  <c r="A145" i="3"/>
  <c r="B145" i="3"/>
  <c r="C145" i="3"/>
  <c r="D145" i="3"/>
  <c r="E145" i="3"/>
  <c r="F145" i="3"/>
  <c r="A146" i="3"/>
  <c r="B146" i="3"/>
  <c r="C146" i="3"/>
  <c r="D146" i="3"/>
  <c r="E146" i="3"/>
  <c r="F146" i="3"/>
  <c r="A147" i="3"/>
  <c r="B147" i="3"/>
  <c r="C147" i="3"/>
  <c r="D147" i="3"/>
  <c r="E147" i="3"/>
  <c r="F147" i="3"/>
  <c r="A148" i="3"/>
  <c r="B148" i="3"/>
  <c r="C148" i="3"/>
  <c r="D148" i="3"/>
  <c r="E148" i="3"/>
  <c r="F148" i="3"/>
  <c r="A149" i="3"/>
  <c r="B149" i="3"/>
  <c r="C149" i="3"/>
  <c r="D149" i="3"/>
  <c r="E149" i="3"/>
  <c r="F149" i="3"/>
  <c r="A150" i="3"/>
  <c r="B150" i="3"/>
  <c r="C150" i="3"/>
  <c r="D150" i="3"/>
  <c r="E150" i="3"/>
  <c r="F150" i="3"/>
  <c r="A151" i="3"/>
  <c r="B151" i="3"/>
  <c r="C151" i="3"/>
  <c r="D151" i="3"/>
  <c r="E151" i="3"/>
  <c r="F151" i="3"/>
  <c r="A152" i="3"/>
  <c r="B152" i="3"/>
  <c r="C152" i="3"/>
  <c r="D152" i="3"/>
  <c r="E152" i="3"/>
  <c r="F152" i="3"/>
  <c r="A153" i="3"/>
  <c r="B153" i="3"/>
  <c r="C153" i="3"/>
  <c r="D153" i="3"/>
  <c r="E153" i="3"/>
  <c r="F153" i="3"/>
  <c r="A154" i="3"/>
  <c r="B154" i="3"/>
  <c r="C154" i="3"/>
  <c r="D154" i="3"/>
  <c r="E154" i="3"/>
  <c r="F154" i="3"/>
  <c r="A155" i="3"/>
  <c r="B155" i="3"/>
  <c r="C155" i="3"/>
  <c r="D155" i="3"/>
  <c r="E155" i="3"/>
  <c r="F155" i="3"/>
  <c r="A156" i="3"/>
  <c r="B156" i="3"/>
  <c r="C156" i="3"/>
  <c r="D156" i="3"/>
  <c r="E156" i="3"/>
  <c r="F156" i="3"/>
  <c r="A157" i="3"/>
  <c r="B157" i="3"/>
  <c r="C157" i="3"/>
  <c r="D157" i="3"/>
  <c r="E157" i="3"/>
  <c r="F157" i="3"/>
  <c r="A158" i="3"/>
  <c r="B158" i="3"/>
  <c r="C158" i="3"/>
  <c r="D158" i="3"/>
  <c r="E158" i="3"/>
  <c r="F158" i="3"/>
  <c r="A159" i="3"/>
  <c r="B159" i="3"/>
  <c r="C159" i="3"/>
  <c r="D159" i="3"/>
  <c r="E159" i="3"/>
  <c r="F159" i="3"/>
  <c r="A160" i="3"/>
  <c r="B160" i="3"/>
  <c r="C160" i="3"/>
  <c r="D160" i="3"/>
  <c r="E160" i="3"/>
  <c r="F160" i="3"/>
  <c r="A161" i="3"/>
  <c r="B161" i="3"/>
  <c r="C161" i="3"/>
  <c r="D161" i="3"/>
  <c r="E161" i="3"/>
  <c r="F161" i="3"/>
  <c r="A162" i="3"/>
  <c r="B162" i="3"/>
  <c r="C162" i="3"/>
  <c r="D162" i="3"/>
  <c r="E162" i="3"/>
  <c r="F162" i="3"/>
  <c r="A163" i="3"/>
  <c r="B163" i="3"/>
  <c r="C163" i="3"/>
  <c r="D163" i="3"/>
  <c r="E163" i="3"/>
  <c r="F163" i="3"/>
  <c r="A164" i="3"/>
  <c r="B164" i="3"/>
  <c r="C164" i="3"/>
  <c r="D164" i="3"/>
  <c r="E164" i="3"/>
  <c r="F164" i="3"/>
  <c r="A165" i="3"/>
  <c r="B165" i="3"/>
  <c r="C165" i="3"/>
  <c r="D165" i="3"/>
  <c r="E165" i="3"/>
  <c r="F165" i="3"/>
  <c r="A166" i="3"/>
  <c r="B166" i="3"/>
  <c r="C166" i="3"/>
  <c r="D166" i="3"/>
  <c r="E166" i="3"/>
  <c r="F166" i="3"/>
  <c r="A167" i="3"/>
  <c r="B167" i="3"/>
  <c r="C167" i="3"/>
  <c r="D167" i="3"/>
  <c r="E167" i="3"/>
  <c r="F167" i="3"/>
  <c r="A168" i="3"/>
  <c r="B168" i="3"/>
  <c r="C168" i="3"/>
  <c r="D168" i="3"/>
  <c r="E168" i="3"/>
  <c r="F168" i="3"/>
  <c r="A169" i="3"/>
  <c r="B169" i="3"/>
  <c r="C169" i="3"/>
  <c r="D169" i="3"/>
  <c r="E169" i="3"/>
  <c r="F169" i="3"/>
  <c r="A170" i="3"/>
  <c r="B170" i="3"/>
  <c r="C170" i="3"/>
  <c r="D170" i="3"/>
  <c r="E170" i="3"/>
  <c r="F170" i="3"/>
  <c r="A171" i="3"/>
  <c r="B171" i="3"/>
  <c r="C171" i="3"/>
  <c r="D171" i="3"/>
  <c r="E171" i="3"/>
  <c r="F171" i="3"/>
  <c r="A172" i="3"/>
  <c r="B172" i="3"/>
  <c r="C172" i="3"/>
  <c r="D172" i="3"/>
  <c r="E172" i="3"/>
  <c r="F172" i="3"/>
  <c r="A173" i="3"/>
  <c r="B173" i="3"/>
  <c r="C173" i="3"/>
  <c r="D173" i="3"/>
  <c r="E173" i="3"/>
  <c r="F173" i="3"/>
  <c r="A174" i="3"/>
  <c r="B174" i="3"/>
  <c r="C174" i="3"/>
  <c r="D174" i="3"/>
  <c r="E174" i="3"/>
  <c r="F174" i="3"/>
  <c r="A175" i="3"/>
  <c r="B175" i="3"/>
  <c r="C175" i="3"/>
  <c r="D175" i="3"/>
  <c r="E175" i="3"/>
  <c r="F175" i="3"/>
  <c r="A176" i="3"/>
  <c r="B176" i="3"/>
  <c r="C176" i="3"/>
  <c r="D176" i="3"/>
  <c r="E176" i="3"/>
  <c r="F176" i="3"/>
  <c r="A177" i="3"/>
  <c r="B177" i="3"/>
  <c r="C177" i="3"/>
  <c r="D177" i="3"/>
  <c r="E177" i="3"/>
  <c r="F177" i="3"/>
  <c r="A178" i="3"/>
  <c r="B178" i="3"/>
  <c r="C178" i="3"/>
  <c r="D178" i="3"/>
  <c r="E178" i="3"/>
  <c r="F178" i="3"/>
  <c r="A179" i="3"/>
  <c r="B179" i="3"/>
  <c r="C179" i="3"/>
  <c r="D179" i="3"/>
  <c r="E179" i="3"/>
  <c r="F179" i="3"/>
  <c r="A180" i="3"/>
  <c r="B180" i="3"/>
  <c r="C180" i="3"/>
  <c r="D180" i="3"/>
  <c r="E180" i="3"/>
  <c r="F180" i="3"/>
  <c r="A181" i="3"/>
  <c r="B181" i="3"/>
  <c r="C181" i="3"/>
  <c r="D181" i="3"/>
  <c r="E181" i="3"/>
  <c r="F181" i="3"/>
  <c r="A182" i="3"/>
  <c r="B182" i="3"/>
  <c r="C182" i="3"/>
  <c r="D182" i="3"/>
  <c r="E182" i="3"/>
  <c r="F182" i="3"/>
  <c r="A183" i="3"/>
  <c r="B183" i="3"/>
  <c r="C183" i="3"/>
  <c r="D183" i="3"/>
  <c r="E183" i="3"/>
  <c r="F183" i="3"/>
  <c r="A184" i="3"/>
  <c r="B184" i="3"/>
  <c r="C184" i="3"/>
  <c r="D184" i="3"/>
  <c r="E184" i="3"/>
  <c r="F184" i="3"/>
  <c r="A185" i="3"/>
  <c r="B185" i="3"/>
  <c r="C185" i="3"/>
  <c r="D185" i="3"/>
  <c r="E185" i="3"/>
  <c r="F185" i="3"/>
  <c r="A186" i="3"/>
  <c r="B186" i="3"/>
  <c r="C186" i="3"/>
  <c r="D186" i="3"/>
  <c r="E186" i="3"/>
  <c r="F186" i="3"/>
  <c r="A187" i="3"/>
  <c r="B187" i="3"/>
  <c r="C187" i="3"/>
  <c r="D187" i="3"/>
  <c r="E187" i="3"/>
  <c r="F187" i="3"/>
  <c r="A188" i="3"/>
  <c r="B188" i="3"/>
  <c r="C188" i="3"/>
  <c r="D188" i="3"/>
  <c r="E188" i="3"/>
  <c r="F188" i="3"/>
  <c r="A189" i="3"/>
  <c r="B189" i="3"/>
  <c r="C189" i="3"/>
  <c r="D189" i="3"/>
  <c r="E189" i="3"/>
  <c r="F189" i="3"/>
  <c r="A190" i="3"/>
  <c r="B190" i="3"/>
  <c r="C190" i="3"/>
  <c r="D190" i="3"/>
  <c r="E190" i="3"/>
  <c r="F190" i="3"/>
  <c r="A191" i="3"/>
  <c r="B191" i="3"/>
  <c r="C191" i="3"/>
  <c r="D191" i="3"/>
  <c r="E191" i="3"/>
  <c r="F191" i="3"/>
  <c r="A192" i="3"/>
  <c r="B192" i="3"/>
  <c r="C192" i="3"/>
  <c r="D192" i="3"/>
  <c r="E192" i="3"/>
  <c r="F192" i="3"/>
  <c r="A193" i="3"/>
  <c r="B193" i="3"/>
  <c r="C193" i="3"/>
  <c r="D193" i="3"/>
  <c r="E193" i="3"/>
  <c r="F193" i="3"/>
  <c r="A194" i="3"/>
  <c r="B194" i="3"/>
  <c r="C194" i="3"/>
  <c r="D194" i="3"/>
  <c r="E194" i="3"/>
  <c r="F194" i="3"/>
  <c r="A195" i="3"/>
  <c r="B195" i="3"/>
  <c r="C195" i="3"/>
  <c r="D195" i="3"/>
  <c r="E195" i="3"/>
  <c r="F195" i="3"/>
  <c r="A196" i="3"/>
  <c r="B196" i="3"/>
  <c r="C196" i="3"/>
  <c r="D196" i="3"/>
  <c r="E196" i="3"/>
  <c r="F196" i="3"/>
  <c r="A197" i="3"/>
  <c r="B197" i="3"/>
  <c r="C197" i="3"/>
  <c r="D197" i="3"/>
  <c r="E197" i="3"/>
  <c r="F197" i="3"/>
  <c r="A198" i="3"/>
  <c r="B198" i="3"/>
  <c r="C198" i="3"/>
  <c r="D198" i="3"/>
  <c r="E198" i="3"/>
  <c r="F198" i="3"/>
  <c r="A199" i="3"/>
  <c r="B199" i="3"/>
  <c r="C199" i="3"/>
  <c r="D199" i="3"/>
  <c r="E199" i="3"/>
  <c r="F199" i="3"/>
  <c r="A200" i="3"/>
  <c r="B200" i="3"/>
  <c r="C200" i="3"/>
  <c r="D200" i="3"/>
  <c r="E200" i="3"/>
  <c r="F200" i="3"/>
  <c r="A201" i="3"/>
  <c r="B201" i="3"/>
  <c r="C201" i="3"/>
  <c r="D201" i="3"/>
  <c r="E201" i="3"/>
  <c r="F201" i="3"/>
  <c r="A202" i="3"/>
  <c r="B202" i="3"/>
  <c r="C202" i="3"/>
  <c r="D202" i="3"/>
  <c r="E202" i="3"/>
  <c r="F202" i="3"/>
  <c r="A203" i="3"/>
  <c r="B203" i="3"/>
  <c r="C203" i="3"/>
  <c r="D203" i="3"/>
  <c r="E203" i="3"/>
  <c r="F203" i="3"/>
  <c r="A204" i="3"/>
  <c r="B204" i="3"/>
  <c r="C204" i="3"/>
  <c r="D204" i="3"/>
  <c r="E204" i="3"/>
  <c r="F204" i="3"/>
  <c r="A205" i="3"/>
  <c r="B205" i="3"/>
  <c r="C205" i="3"/>
  <c r="D205" i="3"/>
  <c r="E205" i="3"/>
  <c r="F205" i="3"/>
  <c r="A206" i="3"/>
  <c r="B206" i="3"/>
  <c r="C206" i="3"/>
  <c r="D206" i="3"/>
  <c r="E206" i="3"/>
  <c r="F206" i="3"/>
  <c r="A207" i="3"/>
  <c r="B207" i="3"/>
  <c r="C207" i="3"/>
  <c r="D207" i="3"/>
  <c r="E207" i="3"/>
  <c r="F207" i="3"/>
  <c r="A208" i="3"/>
  <c r="B208" i="3"/>
  <c r="C208" i="3"/>
  <c r="D208" i="3"/>
  <c r="E208" i="3"/>
  <c r="F208" i="3"/>
  <c r="A209" i="3"/>
  <c r="B209" i="3"/>
  <c r="C209" i="3"/>
  <c r="D209" i="3"/>
  <c r="E209" i="3"/>
  <c r="F209" i="3"/>
  <c r="A210" i="3"/>
  <c r="B210" i="3"/>
  <c r="C210" i="3"/>
  <c r="D210" i="3"/>
  <c r="E210" i="3"/>
  <c r="F210" i="3"/>
  <c r="A211" i="3"/>
  <c r="B211" i="3"/>
  <c r="C211" i="3"/>
  <c r="D211" i="3"/>
  <c r="E211" i="3"/>
  <c r="F211" i="3"/>
  <c r="A212" i="3"/>
  <c r="B212" i="3"/>
  <c r="C212" i="3"/>
  <c r="D212" i="3"/>
  <c r="E212" i="3"/>
  <c r="F212" i="3"/>
  <c r="A213" i="3"/>
  <c r="B213" i="3"/>
  <c r="C213" i="3"/>
  <c r="D213" i="3"/>
  <c r="E213" i="3"/>
  <c r="F213" i="3"/>
  <c r="A214" i="3"/>
  <c r="B214" i="3"/>
  <c r="C214" i="3"/>
  <c r="D214" i="3"/>
  <c r="E214" i="3"/>
  <c r="F214" i="3"/>
  <c r="A215" i="3"/>
  <c r="B215" i="3"/>
  <c r="C215" i="3"/>
  <c r="D215" i="3"/>
  <c r="E215" i="3"/>
  <c r="F215" i="3"/>
  <c r="A216" i="3"/>
  <c r="B216" i="3"/>
  <c r="C216" i="3"/>
  <c r="D216" i="3"/>
  <c r="E216" i="3"/>
  <c r="F216" i="3"/>
  <c r="A217" i="3"/>
  <c r="B217" i="3"/>
  <c r="C217" i="3"/>
  <c r="D217" i="3"/>
  <c r="E217" i="3"/>
  <c r="F217" i="3"/>
  <c r="A218" i="3"/>
  <c r="B218" i="3"/>
  <c r="C218" i="3"/>
  <c r="D218" i="3"/>
  <c r="E218" i="3"/>
  <c r="F218" i="3"/>
  <c r="A219" i="3"/>
  <c r="B219" i="3"/>
  <c r="C219" i="3"/>
  <c r="D219" i="3"/>
  <c r="E219" i="3"/>
  <c r="F219" i="3"/>
  <c r="A220" i="3"/>
  <c r="B220" i="3"/>
  <c r="C220" i="3"/>
  <c r="D220" i="3"/>
  <c r="E220" i="3"/>
  <c r="F220" i="3"/>
  <c r="A221" i="3"/>
  <c r="B221" i="3"/>
  <c r="C221" i="3"/>
  <c r="D221" i="3"/>
  <c r="E221" i="3"/>
  <c r="F221" i="3"/>
  <c r="A222" i="3"/>
  <c r="B222" i="3"/>
  <c r="C222" i="3"/>
  <c r="D222" i="3"/>
  <c r="E222" i="3"/>
  <c r="F222" i="3"/>
  <c r="A223" i="3"/>
  <c r="B223" i="3"/>
  <c r="C223" i="3"/>
  <c r="D223" i="3"/>
  <c r="E223" i="3"/>
  <c r="F223" i="3"/>
  <c r="A224" i="3"/>
  <c r="B224" i="3"/>
  <c r="C224" i="3"/>
  <c r="D224" i="3"/>
  <c r="E224" i="3"/>
  <c r="F224" i="3"/>
  <c r="A225" i="3"/>
  <c r="B225" i="3"/>
  <c r="C225" i="3"/>
  <c r="D225" i="3"/>
  <c r="E225" i="3"/>
  <c r="F225" i="3"/>
  <c r="A226" i="3"/>
  <c r="B226" i="3"/>
  <c r="C226" i="3"/>
  <c r="D226" i="3"/>
  <c r="E226" i="3"/>
  <c r="F226" i="3"/>
  <c r="A227" i="3"/>
  <c r="B227" i="3"/>
  <c r="C227" i="3"/>
  <c r="D227" i="3"/>
  <c r="E227" i="3"/>
  <c r="F227" i="3"/>
  <c r="A228" i="3"/>
  <c r="B228" i="3"/>
  <c r="C228" i="3"/>
  <c r="D228" i="3"/>
  <c r="E228" i="3"/>
  <c r="F228" i="3"/>
  <c r="A229" i="3"/>
  <c r="B229" i="3"/>
  <c r="C229" i="3"/>
  <c r="D229" i="3"/>
  <c r="E229" i="3"/>
  <c r="F229" i="3"/>
  <c r="A230" i="3"/>
  <c r="B230" i="3"/>
  <c r="C230" i="3"/>
  <c r="D230" i="3"/>
  <c r="E230" i="3"/>
  <c r="F230" i="3"/>
  <c r="A231" i="3"/>
  <c r="B231" i="3"/>
  <c r="C231" i="3"/>
  <c r="D231" i="3"/>
  <c r="E231" i="3"/>
  <c r="F231" i="3"/>
  <c r="A232" i="3"/>
  <c r="B232" i="3"/>
  <c r="C232" i="3"/>
  <c r="D232" i="3"/>
  <c r="E232" i="3"/>
  <c r="F232" i="3"/>
  <c r="A233" i="3"/>
  <c r="B233" i="3"/>
  <c r="C233" i="3"/>
  <c r="D233" i="3"/>
  <c r="E233" i="3"/>
  <c r="F233" i="3"/>
  <c r="A234" i="3"/>
  <c r="B234" i="3"/>
  <c r="C234" i="3"/>
  <c r="D234" i="3"/>
  <c r="E234" i="3"/>
  <c r="F234" i="3"/>
  <c r="A235" i="3"/>
  <c r="B235" i="3"/>
  <c r="C235" i="3"/>
  <c r="D235" i="3"/>
  <c r="E235" i="3"/>
  <c r="F235" i="3"/>
  <c r="A236" i="3"/>
  <c r="B236" i="3"/>
  <c r="C236" i="3"/>
  <c r="D236" i="3"/>
  <c r="E236" i="3"/>
  <c r="F236" i="3"/>
  <c r="A237" i="3"/>
  <c r="B237" i="3"/>
  <c r="C237" i="3"/>
  <c r="D237" i="3"/>
  <c r="E237" i="3"/>
  <c r="F237" i="3"/>
  <c r="A238" i="3"/>
  <c r="B238" i="3"/>
  <c r="C238" i="3"/>
  <c r="D238" i="3"/>
  <c r="E238" i="3"/>
  <c r="F238" i="3"/>
  <c r="A239" i="3"/>
  <c r="B239" i="3"/>
  <c r="C239" i="3"/>
  <c r="D239" i="3"/>
  <c r="E239" i="3"/>
  <c r="F239" i="3"/>
  <c r="A240" i="3"/>
  <c r="B240" i="3"/>
  <c r="C240" i="3"/>
  <c r="D240" i="3"/>
  <c r="E240" i="3"/>
  <c r="F240" i="3"/>
  <c r="A241" i="3"/>
  <c r="B241" i="3"/>
  <c r="C241" i="3"/>
  <c r="D241" i="3"/>
  <c r="E241" i="3"/>
  <c r="F241" i="3"/>
  <c r="A242" i="3"/>
  <c r="B242" i="3"/>
  <c r="C242" i="3"/>
  <c r="D242" i="3"/>
  <c r="E242" i="3"/>
  <c r="F242" i="3"/>
  <c r="A243" i="3"/>
  <c r="B243" i="3"/>
  <c r="C243" i="3"/>
  <c r="D243" i="3"/>
  <c r="E243" i="3"/>
  <c r="F243" i="3"/>
  <c r="A244" i="3"/>
  <c r="B244" i="3"/>
  <c r="C244" i="3"/>
  <c r="D244" i="3"/>
  <c r="E244" i="3"/>
  <c r="F244" i="3"/>
  <c r="A245" i="3"/>
  <c r="B245" i="3"/>
  <c r="C245" i="3"/>
  <c r="D245" i="3"/>
  <c r="E245" i="3"/>
  <c r="F245" i="3"/>
  <c r="A246" i="3"/>
  <c r="B246" i="3"/>
  <c r="C246" i="3"/>
  <c r="D246" i="3"/>
  <c r="E246" i="3"/>
  <c r="F246" i="3"/>
  <c r="A247" i="3"/>
  <c r="B247" i="3"/>
  <c r="C247" i="3"/>
  <c r="D247" i="3"/>
  <c r="E247" i="3"/>
  <c r="F247" i="3"/>
  <c r="A248" i="3"/>
  <c r="B248" i="3"/>
  <c r="C248" i="3"/>
  <c r="D248" i="3"/>
  <c r="E248" i="3"/>
  <c r="F248" i="3"/>
  <c r="A249" i="3"/>
  <c r="B249" i="3"/>
  <c r="C249" i="3"/>
  <c r="D249" i="3"/>
  <c r="E249" i="3"/>
  <c r="F249" i="3"/>
  <c r="A250" i="3"/>
  <c r="B250" i="3"/>
  <c r="C250" i="3"/>
  <c r="D250" i="3"/>
  <c r="E250" i="3"/>
  <c r="F250" i="3"/>
  <c r="A251" i="3"/>
  <c r="B251" i="3"/>
  <c r="C251" i="3"/>
  <c r="D251" i="3"/>
  <c r="E251" i="3"/>
  <c r="F251" i="3"/>
  <c r="A252" i="3"/>
  <c r="B252" i="3"/>
  <c r="C252" i="3"/>
  <c r="D252" i="3"/>
  <c r="E252" i="3"/>
  <c r="F252" i="3"/>
  <c r="A253" i="3"/>
  <c r="B253" i="3"/>
  <c r="C253" i="3"/>
  <c r="D253" i="3"/>
  <c r="E253" i="3"/>
  <c r="F253" i="3"/>
  <c r="A254" i="3"/>
  <c r="B254" i="3"/>
  <c r="C254" i="3"/>
  <c r="D254" i="3"/>
  <c r="E254" i="3"/>
  <c r="F254" i="3"/>
  <c r="A255" i="3"/>
  <c r="B255" i="3"/>
  <c r="C255" i="3"/>
  <c r="D255" i="3"/>
  <c r="E255" i="3"/>
  <c r="F255" i="3"/>
  <c r="A256" i="3"/>
  <c r="B256" i="3"/>
  <c r="C256" i="3"/>
  <c r="D256" i="3"/>
  <c r="E256" i="3"/>
  <c r="F256" i="3"/>
  <c r="A257" i="3"/>
  <c r="B257" i="3"/>
  <c r="C257" i="3"/>
  <c r="D257" i="3"/>
  <c r="E257" i="3"/>
  <c r="F257" i="3"/>
  <c r="A258" i="3"/>
  <c r="B258" i="3"/>
  <c r="C258" i="3"/>
  <c r="D258" i="3"/>
  <c r="E258" i="3"/>
  <c r="F258" i="3"/>
  <c r="A259" i="3"/>
  <c r="B259" i="3"/>
  <c r="C259" i="3"/>
  <c r="D259" i="3"/>
  <c r="E259" i="3"/>
  <c r="F259" i="3"/>
  <c r="A260" i="3"/>
  <c r="B260" i="3"/>
  <c r="C260" i="3"/>
  <c r="D260" i="3"/>
  <c r="E260" i="3"/>
  <c r="F260" i="3"/>
  <c r="A261" i="3"/>
  <c r="B261" i="3"/>
  <c r="C261" i="3"/>
  <c r="D261" i="3"/>
  <c r="E261" i="3"/>
  <c r="F261" i="3"/>
  <c r="A262" i="3"/>
  <c r="B262" i="3"/>
  <c r="C262" i="3"/>
  <c r="D262" i="3"/>
  <c r="E262" i="3"/>
  <c r="F262" i="3"/>
  <c r="A263" i="3"/>
  <c r="B263" i="3"/>
  <c r="C263" i="3"/>
  <c r="D263" i="3"/>
  <c r="E263" i="3"/>
  <c r="F263" i="3"/>
  <c r="A264" i="3"/>
  <c r="B264" i="3"/>
  <c r="C264" i="3"/>
  <c r="D264" i="3"/>
  <c r="E264" i="3"/>
  <c r="F264" i="3"/>
  <c r="A265" i="3"/>
  <c r="B265" i="3"/>
  <c r="C265" i="3"/>
  <c r="D265" i="3"/>
  <c r="E265" i="3"/>
  <c r="F265" i="3"/>
  <c r="A266" i="3"/>
  <c r="B266" i="3"/>
  <c r="C266" i="3"/>
  <c r="D266" i="3"/>
  <c r="E266" i="3"/>
  <c r="F266" i="3"/>
  <c r="A267" i="3"/>
  <c r="B267" i="3"/>
  <c r="C267" i="3"/>
  <c r="D267" i="3"/>
  <c r="E267" i="3"/>
  <c r="F267" i="3"/>
  <c r="A268" i="3"/>
  <c r="B268" i="3"/>
  <c r="C268" i="3"/>
  <c r="D268" i="3"/>
  <c r="E268" i="3"/>
  <c r="F268" i="3"/>
  <c r="A269" i="3"/>
  <c r="B269" i="3"/>
  <c r="C269" i="3"/>
  <c r="D269" i="3"/>
  <c r="E269" i="3"/>
  <c r="F269" i="3"/>
  <c r="A270" i="3"/>
  <c r="B270" i="3"/>
  <c r="C270" i="3"/>
  <c r="D270" i="3"/>
  <c r="E270" i="3"/>
  <c r="F270" i="3"/>
  <c r="A271" i="3"/>
  <c r="B271" i="3"/>
  <c r="C271" i="3"/>
  <c r="D271" i="3"/>
  <c r="E271" i="3"/>
  <c r="F271" i="3"/>
  <c r="A272" i="3"/>
  <c r="B272" i="3"/>
  <c r="C272" i="3"/>
  <c r="D272" i="3"/>
  <c r="E272" i="3"/>
  <c r="F272" i="3"/>
  <c r="A273" i="3"/>
  <c r="B273" i="3"/>
  <c r="C273" i="3"/>
  <c r="D273" i="3"/>
  <c r="E273" i="3"/>
  <c r="F273" i="3"/>
  <c r="A274" i="3"/>
  <c r="B274" i="3"/>
  <c r="C274" i="3"/>
  <c r="D274" i="3"/>
  <c r="E274" i="3"/>
  <c r="F274" i="3"/>
  <c r="A275" i="3"/>
  <c r="B275" i="3"/>
  <c r="C275" i="3"/>
  <c r="D275" i="3"/>
  <c r="E275" i="3"/>
  <c r="F275" i="3"/>
  <c r="A276" i="3"/>
  <c r="B276" i="3"/>
  <c r="C276" i="3"/>
  <c r="D276" i="3"/>
  <c r="E276" i="3"/>
  <c r="F276" i="3"/>
  <c r="A277" i="3"/>
  <c r="B277" i="3"/>
  <c r="C277" i="3"/>
  <c r="D277" i="3"/>
  <c r="E277" i="3"/>
  <c r="F277" i="3"/>
  <c r="A278" i="3"/>
  <c r="B278" i="3"/>
  <c r="C278" i="3"/>
  <c r="D278" i="3"/>
  <c r="E278" i="3"/>
  <c r="F278" i="3"/>
  <c r="A279" i="3"/>
  <c r="B279" i="3"/>
  <c r="C279" i="3"/>
  <c r="D279" i="3"/>
  <c r="E279" i="3"/>
  <c r="F279" i="3"/>
  <c r="A280" i="3"/>
  <c r="B280" i="3"/>
  <c r="C280" i="3"/>
  <c r="D280" i="3"/>
  <c r="E280" i="3"/>
  <c r="F280" i="3"/>
  <c r="A281" i="3"/>
  <c r="B281" i="3"/>
  <c r="C281" i="3"/>
  <c r="D281" i="3"/>
  <c r="E281" i="3"/>
  <c r="F281" i="3"/>
  <c r="A282" i="3"/>
  <c r="B282" i="3"/>
  <c r="C282" i="3"/>
  <c r="D282" i="3"/>
  <c r="E282" i="3"/>
  <c r="F282" i="3"/>
  <c r="A283" i="3"/>
  <c r="B283" i="3"/>
  <c r="C283" i="3"/>
  <c r="D283" i="3"/>
  <c r="E283" i="3"/>
  <c r="F283" i="3"/>
  <c r="A284" i="3"/>
  <c r="B284" i="3"/>
  <c r="C284" i="3"/>
  <c r="D284" i="3"/>
  <c r="E284" i="3"/>
  <c r="F284" i="3"/>
  <c r="A285" i="3"/>
  <c r="B285" i="3"/>
  <c r="C285" i="3"/>
  <c r="D285" i="3"/>
  <c r="E285" i="3"/>
  <c r="F285" i="3"/>
  <c r="A286" i="3"/>
  <c r="B286" i="3"/>
  <c r="C286" i="3"/>
  <c r="D286" i="3"/>
  <c r="E286" i="3"/>
  <c r="F286" i="3"/>
  <c r="A287" i="3"/>
  <c r="B287" i="3"/>
  <c r="C287" i="3"/>
  <c r="D287" i="3"/>
  <c r="E287" i="3"/>
  <c r="F287" i="3"/>
  <c r="A288" i="3"/>
  <c r="B288" i="3"/>
  <c r="C288" i="3"/>
  <c r="D288" i="3"/>
  <c r="E288" i="3"/>
  <c r="F288" i="3"/>
  <c r="A289" i="3"/>
  <c r="B289" i="3"/>
  <c r="C289" i="3"/>
  <c r="D289" i="3"/>
  <c r="E289" i="3"/>
  <c r="F289" i="3"/>
  <c r="A290" i="3"/>
  <c r="B290" i="3"/>
  <c r="C290" i="3"/>
  <c r="D290" i="3"/>
  <c r="E290" i="3"/>
  <c r="F290" i="3"/>
  <c r="A291" i="3"/>
  <c r="B291" i="3"/>
  <c r="C291" i="3"/>
  <c r="D291" i="3"/>
  <c r="E291" i="3"/>
  <c r="F291" i="3"/>
  <c r="A292" i="3"/>
  <c r="B292" i="3"/>
  <c r="C292" i="3"/>
  <c r="D292" i="3"/>
  <c r="E292" i="3"/>
  <c r="F292" i="3"/>
  <c r="A293" i="3"/>
  <c r="B293" i="3"/>
  <c r="C293" i="3"/>
  <c r="D293" i="3"/>
  <c r="E293" i="3"/>
  <c r="F293" i="3"/>
  <c r="A294" i="3"/>
  <c r="B294" i="3"/>
  <c r="C294" i="3"/>
  <c r="D294" i="3"/>
  <c r="E294" i="3"/>
  <c r="F294" i="3"/>
  <c r="A295" i="3"/>
  <c r="B295" i="3"/>
  <c r="C295" i="3"/>
  <c r="D295" i="3"/>
  <c r="E295" i="3"/>
  <c r="F295" i="3"/>
  <c r="A296" i="3"/>
  <c r="B296" i="3"/>
  <c r="C296" i="3"/>
  <c r="D296" i="3"/>
  <c r="E296" i="3"/>
  <c r="F296" i="3"/>
  <c r="A297" i="3"/>
  <c r="B297" i="3"/>
  <c r="C297" i="3"/>
  <c r="D297" i="3"/>
  <c r="E297" i="3"/>
  <c r="F297" i="3"/>
  <c r="A298" i="3"/>
  <c r="B298" i="3"/>
  <c r="C298" i="3"/>
  <c r="D298" i="3"/>
  <c r="E298" i="3"/>
  <c r="F298" i="3"/>
  <c r="A299" i="3"/>
  <c r="B299" i="3"/>
  <c r="C299" i="3"/>
  <c r="D299" i="3"/>
  <c r="E299" i="3"/>
  <c r="F299" i="3"/>
  <c r="A300" i="3"/>
  <c r="B300" i="3"/>
  <c r="C300" i="3"/>
  <c r="D300" i="3"/>
  <c r="E300" i="3"/>
  <c r="F300" i="3"/>
  <c r="A301" i="3"/>
  <c r="B301" i="3"/>
  <c r="C301" i="3"/>
  <c r="D301" i="3"/>
  <c r="E301" i="3"/>
  <c r="F301" i="3"/>
  <c r="A302" i="3"/>
  <c r="B302" i="3"/>
  <c r="C302" i="3"/>
  <c r="D302" i="3"/>
  <c r="E302" i="3"/>
  <c r="F302" i="3"/>
  <c r="A303" i="3"/>
  <c r="B303" i="3"/>
  <c r="C303" i="3"/>
  <c r="D303" i="3"/>
  <c r="E303" i="3"/>
  <c r="F303" i="3"/>
  <c r="A304" i="3"/>
  <c r="B304" i="3"/>
  <c r="C304" i="3"/>
  <c r="D304" i="3"/>
  <c r="E304" i="3"/>
  <c r="F304" i="3"/>
  <c r="A305" i="3"/>
  <c r="B305" i="3"/>
  <c r="C305" i="3"/>
  <c r="D305" i="3"/>
  <c r="E305" i="3"/>
  <c r="F305" i="3"/>
  <c r="A306" i="3"/>
  <c r="B306" i="3"/>
  <c r="C306" i="3"/>
  <c r="D306" i="3"/>
  <c r="E306" i="3"/>
  <c r="F306" i="3"/>
  <c r="A307" i="3"/>
  <c r="B307" i="3"/>
  <c r="C307" i="3"/>
  <c r="D307" i="3"/>
  <c r="E307" i="3"/>
  <c r="F307" i="3"/>
  <c r="A308" i="3"/>
  <c r="B308" i="3"/>
  <c r="C308" i="3"/>
  <c r="D308" i="3"/>
  <c r="E308" i="3"/>
  <c r="F308" i="3"/>
  <c r="A309" i="3"/>
  <c r="B309" i="3"/>
  <c r="C309" i="3"/>
  <c r="D309" i="3"/>
  <c r="E309" i="3"/>
  <c r="F309" i="3"/>
  <c r="A310" i="3"/>
  <c r="B310" i="3"/>
  <c r="C310" i="3"/>
  <c r="D310" i="3"/>
  <c r="E310" i="3"/>
  <c r="F310" i="3"/>
  <c r="A311" i="3"/>
  <c r="B311" i="3"/>
  <c r="C311" i="3"/>
  <c r="D311" i="3"/>
  <c r="E311" i="3"/>
  <c r="F311" i="3"/>
  <c r="A312" i="3"/>
  <c r="B312" i="3"/>
  <c r="C312" i="3"/>
  <c r="D312" i="3"/>
  <c r="E312" i="3"/>
  <c r="F312" i="3"/>
  <c r="A313" i="3"/>
  <c r="B313" i="3"/>
  <c r="C313" i="3"/>
  <c r="D313" i="3"/>
  <c r="E313" i="3"/>
  <c r="F313" i="3"/>
  <c r="A314" i="3"/>
  <c r="B314" i="3"/>
  <c r="C314" i="3"/>
  <c r="D314" i="3"/>
  <c r="E314" i="3"/>
  <c r="F314" i="3"/>
  <c r="A315" i="3"/>
  <c r="B315" i="3"/>
  <c r="C315" i="3"/>
  <c r="D315" i="3"/>
  <c r="E315" i="3"/>
  <c r="F315" i="3"/>
  <c r="A316" i="3"/>
  <c r="B316" i="3"/>
  <c r="C316" i="3"/>
  <c r="D316" i="3"/>
  <c r="E316" i="3"/>
  <c r="F316" i="3"/>
  <c r="A317" i="3"/>
  <c r="B317" i="3"/>
  <c r="C317" i="3"/>
  <c r="D317" i="3"/>
  <c r="E317" i="3"/>
  <c r="F317" i="3"/>
  <c r="A318" i="3"/>
  <c r="B318" i="3"/>
  <c r="C318" i="3"/>
  <c r="D318" i="3"/>
  <c r="E318" i="3"/>
  <c r="F318" i="3"/>
  <c r="A319" i="3"/>
  <c r="B319" i="3"/>
  <c r="C319" i="3"/>
  <c r="D319" i="3"/>
  <c r="E319" i="3"/>
  <c r="F319" i="3"/>
  <c r="A320" i="3"/>
  <c r="B320" i="3"/>
  <c r="C320" i="3"/>
  <c r="D320" i="3"/>
  <c r="E320" i="3"/>
  <c r="F320" i="3"/>
  <c r="A321" i="3"/>
  <c r="B321" i="3"/>
  <c r="C321" i="3"/>
  <c r="D321" i="3"/>
  <c r="E321" i="3"/>
  <c r="F321" i="3"/>
  <c r="A322" i="3"/>
  <c r="B322" i="3"/>
  <c r="C322" i="3"/>
  <c r="D322" i="3"/>
  <c r="E322" i="3"/>
  <c r="F322" i="3"/>
  <c r="A323" i="3"/>
  <c r="B323" i="3"/>
  <c r="C323" i="3"/>
  <c r="D323" i="3"/>
  <c r="E323" i="3"/>
  <c r="F323" i="3"/>
  <c r="A324" i="3"/>
  <c r="B324" i="3"/>
  <c r="C324" i="3"/>
  <c r="D324" i="3"/>
  <c r="E324" i="3"/>
  <c r="F324" i="3"/>
  <c r="A325" i="3"/>
  <c r="B325" i="3"/>
  <c r="C325" i="3"/>
  <c r="D325" i="3"/>
  <c r="E325" i="3"/>
  <c r="F325" i="3"/>
  <c r="A326" i="3"/>
  <c r="B326" i="3"/>
  <c r="C326" i="3"/>
  <c r="D326" i="3"/>
  <c r="E326" i="3"/>
  <c r="F326" i="3"/>
  <c r="A327" i="3"/>
  <c r="B327" i="3"/>
  <c r="C327" i="3"/>
  <c r="D327" i="3"/>
  <c r="E327" i="3"/>
  <c r="F327" i="3"/>
  <c r="A328" i="3"/>
  <c r="B328" i="3"/>
  <c r="C328" i="3"/>
  <c r="D328" i="3"/>
  <c r="E328" i="3"/>
  <c r="F328" i="3"/>
  <c r="A329" i="3"/>
  <c r="B329" i="3"/>
  <c r="C329" i="3"/>
  <c r="D329" i="3"/>
  <c r="E329" i="3"/>
  <c r="F329" i="3"/>
  <c r="A330" i="3"/>
  <c r="B330" i="3"/>
  <c r="C330" i="3"/>
  <c r="D330" i="3"/>
  <c r="E330" i="3"/>
  <c r="F330" i="3"/>
  <c r="A331" i="3"/>
  <c r="B331" i="3"/>
  <c r="C331" i="3"/>
  <c r="D331" i="3"/>
  <c r="E331" i="3"/>
  <c r="F331" i="3"/>
  <c r="A332" i="3"/>
  <c r="B332" i="3"/>
  <c r="C332" i="3"/>
  <c r="D332" i="3"/>
  <c r="E332" i="3"/>
  <c r="F332" i="3"/>
  <c r="A333" i="3"/>
  <c r="B333" i="3"/>
  <c r="C333" i="3"/>
  <c r="D333" i="3"/>
  <c r="E333" i="3"/>
  <c r="F333" i="3"/>
  <c r="A334" i="3"/>
  <c r="B334" i="3"/>
  <c r="C334" i="3"/>
  <c r="D334" i="3"/>
  <c r="E334" i="3"/>
  <c r="F334" i="3"/>
  <c r="G2" i="3" l="1"/>
  <c r="G3" i="3"/>
  <c r="G15" i="3"/>
  <c r="G27" i="3"/>
  <c r="G39" i="3"/>
  <c r="G51" i="3"/>
  <c r="G63" i="3"/>
  <c r="G75" i="3"/>
  <c r="G87" i="3"/>
  <c r="G99" i="3"/>
  <c r="G111" i="3"/>
  <c r="G123" i="3"/>
  <c r="G135" i="3"/>
  <c r="G147" i="3"/>
  <c r="G159" i="3"/>
  <c r="G171" i="3"/>
  <c r="G183" i="3"/>
  <c r="G195" i="3"/>
  <c r="G207" i="3"/>
  <c r="G219" i="3"/>
  <c r="G231" i="3"/>
  <c r="G243" i="3"/>
  <c r="G255" i="3"/>
  <c r="G267" i="3"/>
  <c r="G279" i="3"/>
  <c r="G291" i="3"/>
  <c r="G303" i="3"/>
  <c r="G315" i="3"/>
  <c r="G327" i="3"/>
  <c r="G323" i="3"/>
  <c r="G158" i="3"/>
  <c r="G4" i="3"/>
  <c r="G16" i="3"/>
  <c r="G28" i="3"/>
  <c r="G40" i="3"/>
  <c r="G52" i="3"/>
  <c r="G64" i="3"/>
  <c r="G76" i="3"/>
  <c r="G88" i="3"/>
  <c r="G100" i="3"/>
  <c r="G112" i="3"/>
  <c r="G124" i="3"/>
  <c r="G136" i="3"/>
  <c r="G148" i="3"/>
  <c r="G160" i="3"/>
  <c r="G172" i="3"/>
  <c r="G184" i="3"/>
  <c r="G196" i="3"/>
  <c r="G208" i="3"/>
  <c r="G220" i="3"/>
  <c r="G232" i="3"/>
  <c r="G244" i="3"/>
  <c r="G256" i="3"/>
  <c r="G268" i="3"/>
  <c r="G280" i="3"/>
  <c r="G292" i="3"/>
  <c r="G304" i="3"/>
  <c r="G316" i="3"/>
  <c r="G328" i="3"/>
  <c r="G281" i="3"/>
  <c r="G305" i="3"/>
  <c r="G329" i="3"/>
  <c r="G272" i="3"/>
  <c r="G320" i="3"/>
  <c r="G225" i="3"/>
  <c r="G297" i="3"/>
  <c r="G299" i="3"/>
  <c r="G98" i="3"/>
  <c r="G218" i="3"/>
  <c r="G5" i="3"/>
  <c r="G17" i="3"/>
  <c r="G29" i="3"/>
  <c r="G41" i="3"/>
  <c r="G53" i="3"/>
  <c r="G65" i="3"/>
  <c r="G77" i="3"/>
  <c r="G89" i="3"/>
  <c r="G101" i="3"/>
  <c r="G113" i="3"/>
  <c r="G125" i="3"/>
  <c r="G137" i="3"/>
  <c r="G149" i="3"/>
  <c r="G161" i="3"/>
  <c r="G173" i="3"/>
  <c r="G185" i="3"/>
  <c r="G197" i="3"/>
  <c r="G209" i="3"/>
  <c r="G221" i="3"/>
  <c r="G233" i="3"/>
  <c r="G245" i="3"/>
  <c r="G257" i="3"/>
  <c r="G269" i="3"/>
  <c r="G293" i="3"/>
  <c r="G317" i="3"/>
  <c r="G260" i="3"/>
  <c r="G165" i="3"/>
  <c r="G249" i="3"/>
  <c r="G321" i="3"/>
  <c r="G300" i="3"/>
  <c r="G230" i="3"/>
  <c r="G6" i="3"/>
  <c r="G18" i="3"/>
  <c r="G30" i="3"/>
  <c r="G42" i="3"/>
  <c r="G54" i="3"/>
  <c r="G66" i="3"/>
  <c r="G78" i="3"/>
  <c r="G90" i="3"/>
  <c r="G102" i="3"/>
  <c r="G114" i="3"/>
  <c r="G126" i="3"/>
  <c r="G138" i="3"/>
  <c r="G150" i="3"/>
  <c r="G162" i="3"/>
  <c r="G174" i="3"/>
  <c r="G186" i="3"/>
  <c r="G198" i="3"/>
  <c r="G210" i="3"/>
  <c r="G222" i="3"/>
  <c r="G234" i="3"/>
  <c r="G246" i="3"/>
  <c r="G258" i="3"/>
  <c r="G270" i="3"/>
  <c r="G282" i="3"/>
  <c r="G294" i="3"/>
  <c r="G306" i="3"/>
  <c r="G318" i="3"/>
  <c r="G330" i="3"/>
  <c r="G176" i="3"/>
  <c r="G212" i="3"/>
  <c r="G248" i="3"/>
  <c r="G308" i="3"/>
  <c r="G177" i="3"/>
  <c r="G237" i="3"/>
  <c r="G309" i="3"/>
  <c r="G264" i="3"/>
  <c r="G134" i="3"/>
  <c r="G254" i="3"/>
  <c r="G7" i="3"/>
  <c r="G19" i="3"/>
  <c r="G31" i="3"/>
  <c r="G43" i="3"/>
  <c r="G55" i="3"/>
  <c r="G67" i="3"/>
  <c r="G79" i="3"/>
  <c r="G91" i="3"/>
  <c r="G103" i="3"/>
  <c r="G115" i="3"/>
  <c r="G127" i="3"/>
  <c r="G139" i="3"/>
  <c r="G151" i="3"/>
  <c r="G163" i="3"/>
  <c r="G175" i="3"/>
  <c r="G187" i="3"/>
  <c r="G199" i="3"/>
  <c r="G211" i="3"/>
  <c r="G223" i="3"/>
  <c r="G235" i="3"/>
  <c r="G247" i="3"/>
  <c r="G259" i="3"/>
  <c r="G271" i="3"/>
  <c r="G283" i="3"/>
  <c r="G295" i="3"/>
  <c r="G307" i="3"/>
  <c r="G319" i="3"/>
  <c r="G331" i="3"/>
  <c r="G152" i="3"/>
  <c r="G188" i="3"/>
  <c r="G224" i="3"/>
  <c r="G284" i="3"/>
  <c r="G332" i="3"/>
  <c r="G213" i="3"/>
  <c r="G285" i="3"/>
  <c r="G311" i="3"/>
  <c r="G324" i="3"/>
  <c r="G206" i="3"/>
  <c r="G314" i="3"/>
  <c r="G8" i="3"/>
  <c r="G20" i="3"/>
  <c r="G32" i="3"/>
  <c r="G44" i="3"/>
  <c r="G56" i="3"/>
  <c r="G68" i="3"/>
  <c r="G80" i="3"/>
  <c r="G92" i="3"/>
  <c r="G104" i="3"/>
  <c r="G116" i="3"/>
  <c r="G128" i="3"/>
  <c r="G140" i="3"/>
  <c r="G164" i="3"/>
  <c r="G200" i="3"/>
  <c r="G236" i="3"/>
  <c r="G296" i="3"/>
  <c r="G189" i="3"/>
  <c r="G261" i="3"/>
  <c r="G333" i="3"/>
  <c r="G288" i="3"/>
  <c r="G182" i="3"/>
  <c r="G278" i="3"/>
  <c r="G9" i="3"/>
  <c r="G21" i="3"/>
  <c r="G33" i="3"/>
  <c r="G45" i="3"/>
  <c r="G57" i="3"/>
  <c r="G69" i="3"/>
  <c r="G81" i="3"/>
  <c r="G93" i="3"/>
  <c r="G105" i="3"/>
  <c r="G117" i="3"/>
  <c r="G129" i="3"/>
  <c r="G141" i="3"/>
  <c r="G153" i="3"/>
  <c r="G201" i="3"/>
  <c r="G273" i="3"/>
  <c r="G275" i="3"/>
  <c r="G312" i="3"/>
  <c r="G194" i="3"/>
  <c r="G302" i="3"/>
  <c r="G10" i="3"/>
  <c r="G22" i="3"/>
  <c r="G34" i="3"/>
  <c r="G46" i="3"/>
  <c r="G58" i="3"/>
  <c r="G70" i="3"/>
  <c r="G82" i="3"/>
  <c r="G94" i="3"/>
  <c r="G106" i="3"/>
  <c r="G118" i="3"/>
  <c r="G130" i="3"/>
  <c r="G142" i="3"/>
  <c r="G154" i="3"/>
  <c r="G166" i="3"/>
  <c r="G178" i="3"/>
  <c r="G190" i="3"/>
  <c r="G202" i="3"/>
  <c r="G214" i="3"/>
  <c r="G226" i="3"/>
  <c r="G238" i="3"/>
  <c r="G250" i="3"/>
  <c r="G262" i="3"/>
  <c r="G274" i="3"/>
  <c r="G286" i="3"/>
  <c r="G298" i="3"/>
  <c r="G310" i="3"/>
  <c r="G322" i="3"/>
  <c r="G334" i="3"/>
  <c r="G107" i="3"/>
  <c r="G131" i="3"/>
  <c r="G155" i="3"/>
  <c r="G179" i="3"/>
  <c r="G203" i="3"/>
  <c r="G227" i="3"/>
  <c r="G239" i="3"/>
  <c r="G263" i="3"/>
  <c r="G276" i="3"/>
  <c r="G170" i="3"/>
  <c r="G266" i="3"/>
  <c r="G11" i="3"/>
  <c r="G23" i="3"/>
  <c r="G35" i="3"/>
  <c r="G47" i="3"/>
  <c r="G59" i="3"/>
  <c r="G71" i="3"/>
  <c r="G83" i="3"/>
  <c r="G95" i="3"/>
  <c r="G119" i="3"/>
  <c r="G143" i="3"/>
  <c r="G167" i="3"/>
  <c r="G191" i="3"/>
  <c r="G215" i="3"/>
  <c r="G251" i="3"/>
  <c r="G287" i="3"/>
  <c r="G110" i="3"/>
  <c r="G290" i="3"/>
  <c r="G12" i="3"/>
  <c r="G24" i="3"/>
  <c r="G36" i="3"/>
  <c r="G48" i="3"/>
  <c r="G60" i="3"/>
  <c r="G72" i="3"/>
  <c r="G84" i="3"/>
  <c r="G96" i="3"/>
  <c r="G108" i="3"/>
  <c r="G120" i="3"/>
  <c r="G132" i="3"/>
  <c r="G144" i="3"/>
  <c r="G156" i="3"/>
  <c r="G168" i="3"/>
  <c r="G180" i="3"/>
  <c r="G192" i="3"/>
  <c r="G204" i="3"/>
  <c r="G216" i="3"/>
  <c r="G228" i="3"/>
  <c r="G240" i="3"/>
  <c r="G252" i="3"/>
  <c r="G146" i="3"/>
  <c r="G326" i="3"/>
  <c r="G13" i="3"/>
  <c r="G25" i="3"/>
  <c r="G37" i="3"/>
  <c r="G49" i="3"/>
  <c r="G61" i="3"/>
  <c r="G73" i="3"/>
  <c r="G85" i="3"/>
  <c r="G97" i="3"/>
  <c r="G109" i="3"/>
  <c r="G121" i="3"/>
  <c r="G133" i="3"/>
  <c r="G145" i="3"/>
  <c r="G157" i="3"/>
  <c r="G169" i="3"/>
  <c r="G181" i="3"/>
  <c r="G193" i="3"/>
  <c r="G205" i="3"/>
  <c r="G217" i="3"/>
  <c r="G229" i="3"/>
  <c r="G241" i="3"/>
  <c r="G253" i="3"/>
  <c r="G265" i="3"/>
  <c r="G277" i="3"/>
  <c r="G289" i="3"/>
  <c r="G301" i="3"/>
  <c r="G313" i="3"/>
  <c r="G325" i="3"/>
  <c r="G14" i="3"/>
  <c r="G26" i="3"/>
  <c r="G38" i="3"/>
  <c r="G50" i="3"/>
  <c r="G62" i="3"/>
  <c r="G74" i="3"/>
  <c r="G86" i="3"/>
  <c r="G122" i="3"/>
  <c r="G242" i="3"/>
  <c r="J7" i="3" a="1"/>
  <c r="J7" i="3" s="1"/>
  <c r="L10" i="3" a="1"/>
  <c r="L10" i="3" s="1"/>
  <c r="M10" i="3" s="1"/>
  <c r="J5" i="3" a="1"/>
  <c r="J5" i="3" s="1"/>
  <c r="L5" i="3"/>
  <c r="O10" i="3" a="1"/>
  <c r="J4" i="3" a="1"/>
  <c r="J4" i="3" s="1"/>
  <c r="I10" i="3" a="1"/>
  <c r="J3" i="3" a="1"/>
  <c r="J3" i="3" s="1"/>
  <c r="J2" i="3" a="1"/>
  <c r="J2" i="3" s="1"/>
  <c r="L6" i="3"/>
  <c r="K6" i="3"/>
  <c r="J6" i="3" a="1"/>
  <c r="J6" i="3" s="1"/>
  <c r="M14" i="3" l="1"/>
  <c r="M12" i="3"/>
  <c r="M11" i="3"/>
  <c r="M13" i="3"/>
  <c r="I10" i="3"/>
  <c r="J10" i="3" s="1"/>
  <c r="J16" i="3"/>
  <c r="J11" i="3"/>
  <c r="J12" i="3"/>
  <c r="J13" i="3"/>
  <c r="J14" i="3"/>
  <c r="J15" i="3"/>
  <c r="O10" i="3"/>
  <c r="P10" i="3" s="1"/>
  <c r="P15" i="3"/>
  <c r="P14" i="3"/>
  <c r="P16" i="3"/>
  <c r="P12" i="3"/>
  <c r="P13" i="3"/>
  <c r="P11"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<sst xmlns="http://schemas.openxmlformats.org/spreadsheetml/2006/main" count="1793" uniqueCount="269">
  <si>
    <t>Date</t>
  </si>
  <si>
    <t>Product</t>
  </si>
  <si>
    <t>Sales Person</t>
  </si>
  <si>
    <t>Boxes Shipped</t>
  </si>
  <si>
    <t>Amount ($)</t>
  </si>
  <si>
    <t>Country</t>
  </si>
  <si>
    <t>Pain Relief Tablets</t>
  </si>
  <si>
    <t>Divya Mehra</t>
  </si>
  <si>
    <t>Australia</t>
  </si>
  <si>
    <t>Antiseptic Cream</t>
  </si>
  <si>
    <t>Nikhil Batra</t>
  </si>
  <si>
    <t>Canada</t>
  </si>
  <si>
    <t>Cough Syrup</t>
  </si>
  <si>
    <t>Ritika Shah</t>
  </si>
  <si>
    <t>UK</t>
  </si>
  <si>
    <t>Digestive Enzyme</t>
  </si>
  <si>
    <t>USA</t>
  </si>
  <si>
    <t>Eye Drops</t>
  </si>
  <si>
    <t>Nasal Spray</t>
  </si>
  <si>
    <t>Priya Singh</t>
  </si>
  <si>
    <t>Sneha Iyer</t>
  </si>
  <si>
    <t>Allergy Pills</t>
  </si>
  <si>
    <t>India</t>
  </si>
  <si>
    <t>Rajesh Patel</t>
  </si>
  <si>
    <t>Aman Verma</t>
  </si>
  <si>
    <t>Columns</t>
  </si>
  <si>
    <t>Amount</t>
  </si>
  <si>
    <t>NULL</t>
  </si>
  <si>
    <t>AVE</t>
  </si>
  <si>
    <t>MEDIAN</t>
  </si>
  <si>
    <t>MODE</t>
  </si>
  <si>
    <t>Column1</t>
  </si>
  <si>
    <t>Values count</t>
  </si>
  <si>
    <t>values count</t>
  </si>
  <si>
    <t>Duplicates</t>
  </si>
  <si>
    <t>Grand Total</t>
  </si>
  <si>
    <t>Jan</t>
  </si>
  <si>
    <t>2-Jan</t>
  </si>
  <si>
    <t>5-Jan</t>
  </si>
  <si>
    <t>6-Jan</t>
  </si>
  <si>
    <t>7-Jan</t>
  </si>
  <si>
    <t>8-Jan</t>
  </si>
  <si>
    <t>10-Jan</t>
  </si>
  <si>
    <t>11-Jan</t>
  </si>
  <si>
    <t>13-Jan</t>
  </si>
  <si>
    <t>14-Jan</t>
  </si>
  <si>
    <t>15-Jan</t>
  </si>
  <si>
    <t>16-Jan</t>
  </si>
  <si>
    <t>17-Jan</t>
  </si>
  <si>
    <t>18-Jan</t>
  </si>
  <si>
    <t>19-Jan</t>
  </si>
  <si>
    <t>21-Jan</t>
  </si>
  <si>
    <t>22-Jan</t>
  </si>
  <si>
    <t>24-Jan</t>
  </si>
  <si>
    <t>26-Jan</t>
  </si>
  <si>
    <t>27-Jan</t>
  </si>
  <si>
    <t>28-Jan</t>
  </si>
  <si>
    <t>29-Jan</t>
  </si>
  <si>
    <t>31-Jan</t>
  </si>
  <si>
    <t>Feb</t>
  </si>
  <si>
    <t>1-Feb</t>
  </si>
  <si>
    <t>2-Feb</t>
  </si>
  <si>
    <t>3-Feb</t>
  </si>
  <si>
    <t>5-Feb</t>
  </si>
  <si>
    <t>6-Feb</t>
  </si>
  <si>
    <t>8-Feb</t>
  </si>
  <si>
    <t>9-Feb</t>
  </si>
  <si>
    <t>11-Feb</t>
  </si>
  <si>
    <t>12-Feb</t>
  </si>
  <si>
    <t>13-Feb</t>
  </si>
  <si>
    <t>14-Feb</t>
  </si>
  <si>
    <t>16-Feb</t>
  </si>
  <si>
    <t>18-Feb</t>
  </si>
  <si>
    <t>19-Feb</t>
  </si>
  <si>
    <t>20-Feb</t>
  </si>
  <si>
    <t>21-Feb</t>
  </si>
  <si>
    <t>23-Feb</t>
  </si>
  <si>
    <t>25-Feb</t>
  </si>
  <si>
    <t>27-Feb</t>
  </si>
  <si>
    <t>28-Feb</t>
  </si>
  <si>
    <t>Mar</t>
  </si>
  <si>
    <t>2-Mar</t>
  </si>
  <si>
    <t>3-Mar</t>
  </si>
  <si>
    <t>4-Mar</t>
  </si>
  <si>
    <t>7-Mar</t>
  </si>
  <si>
    <t>9-Mar</t>
  </si>
  <si>
    <t>10-Mar</t>
  </si>
  <si>
    <t>11-Mar</t>
  </si>
  <si>
    <t>13-Mar</t>
  </si>
  <si>
    <t>14-Mar</t>
  </si>
  <si>
    <t>16-Mar</t>
  </si>
  <si>
    <t>17-Mar</t>
  </si>
  <si>
    <t>18-Mar</t>
  </si>
  <si>
    <t>20-Mar</t>
  </si>
  <si>
    <t>21-Mar</t>
  </si>
  <si>
    <t>22-Mar</t>
  </si>
  <si>
    <t>23-Mar</t>
  </si>
  <si>
    <t>24-Mar</t>
  </si>
  <si>
    <t>25-Mar</t>
  </si>
  <si>
    <t>26-Mar</t>
  </si>
  <si>
    <t>27-Mar</t>
  </si>
  <si>
    <t>28-Mar</t>
  </si>
  <si>
    <t>29-Mar</t>
  </si>
  <si>
    <t>Apr</t>
  </si>
  <si>
    <t>1-Apr</t>
  </si>
  <si>
    <t>3-Apr</t>
  </si>
  <si>
    <t>5-Apr</t>
  </si>
  <si>
    <t>8-Apr</t>
  </si>
  <si>
    <t>11-Apr</t>
  </si>
  <si>
    <t>12-Apr</t>
  </si>
  <si>
    <t>13-Apr</t>
  </si>
  <si>
    <t>14-Apr</t>
  </si>
  <si>
    <t>16-Apr</t>
  </si>
  <si>
    <t>17-Apr</t>
  </si>
  <si>
    <t>19-Apr</t>
  </si>
  <si>
    <t>20-Apr</t>
  </si>
  <si>
    <t>22-Apr</t>
  </si>
  <si>
    <t>23-Apr</t>
  </si>
  <si>
    <t>24-Apr</t>
  </si>
  <si>
    <t>25-Apr</t>
  </si>
  <si>
    <t>26-Apr</t>
  </si>
  <si>
    <t>27-Apr</t>
  </si>
  <si>
    <t>29-Apr</t>
  </si>
  <si>
    <t>30-Apr</t>
  </si>
  <si>
    <t>May</t>
  </si>
  <si>
    <t>2-May</t>
  </si>
  <si>
    <t>3-May</t>
  </si>
  <si>
    <t>4-May</t>
  </si>
  <si>
    <t>5-May</t>
  </si>
  <si>
    <t>6-May</t>
  </si>
  <si>
    <t>9-May</t>
  </si>
  <si>
    <t>12-May</t>
  </si>
  <si>
    <t>13-May</t>
  </si>
  <si>
    <t>14-May</t>
  </si>
  <si>
    <t>15-May</t>
  </si>
  <si>
    <t>16-May</t>
  </si>
  <si>
    <t>17-May</t>
  </si>
  <si>
    <t>18-May</t>
  </si>
  <si>
    <t>19-May</t>
  </si>
  <si>
    <t>20-May</t>
  </si>
  <si>
    <t>21-May</t>
  </si>
  <si>
    <t>23-May</t>
  </si>
  <si>
    <t>24-May</t>
  </si>
  <si>
    <t>25-May</t>
  </si>
  <si>
    <t>26-May</t>
  </si>
  <si>
    <t>27-May</t>
  </si>
  <si>
    <t>28-May</t>
  </si>
  <si>
    <t>29-May</t>
  </si>
  <si>
    <t>30-May</t>
  </si>
  <si>
    <t>31-May</t>
  </si>
  <si>
    <t>Jun</t>
  </si>
  <si>
    <t>2-Jun</t>
  </si>
  <si>
    <t>3-Jun</t>
  </si>
  <si>
    <t>4-Jun</t>
  </si>
  <si>
    <t>5-Jun</t>
  </si>
  <si>
    <t>6-Jun</t>
  </si>
  <si>
    <t>7-Jun</t>
  </si>
  <si>
    <t>9-Jun</t>
  </si>
  <si>
    <t>10-Jun</t>
  </si>
  <si>
    <t>11-Jun</t>
  </si>
  <si>
    <t>15-Jun</t>
  </si>
  <si>
    <t>16-Jun</t>
  </si>
  <si>
    <t>17-Jun</t>
  </si>
  <si>
    <t>18-Jun</t>
  </si>
  <si>
    <t>19-Jun</t>
  </si>
  <si>
    <t>21-Jun</t>
  </si>
  <si>
    <t>22-Jun</t>
  </si>
  <si>
    <t>23-Jun</t>
  </si>
  <si>
    <t>25-Jun</t>
  </si>
  <si>
    <t>26-Jun</t>
  </si>
  <si>
    <t>27-Jun</t>
  </si>
  <si>
    <t>28-Jun</t>
  </si>
  <si>
    <t>30-Jun</t>
  </si>
  <si>
    <t>Jul</t>
  </si>
  <si>
    <t>1-Jul</t>
  </si>
  <si>
    <t>2-Jul</t>
  </si>
  <si>
    <t>3-Jul</t>
  </si>
  <si>
    <t>5-Jul</t>
  </si>
  <si>
    <t>6-Jul</t>
  </si>
  <si>
    <t>7-Jul</t>
  </si>
  <si>
    <t>8-Jul</t>
  </si>
  <si>
    <t>9-Jul</t>
  </si>
  <si>
    <t>10-Jul</t>
  </si>
  <si>
    <t>11-Jul</t>
  </si>
  <si>
    <t>13-Jul</t>
  </si>
  <si>
    <t>14-Jul</t>
  </si>
  <si>
    <t>15-Jul</t>
  </si>
  <si>
    <t>16-Jul</t>
  </si>
  <si>
    <t>17-Jul</t>
  </si>
  <si>
    <t>18-Jul</t>
  </si>
  <si>
    <t>20-Jul</t>
  </si>
  <si>
    <t>22-Jul</t>
  </si>
  <si>
    <t>23-Jul</t>
  </si>
  <si>
    <t>24-Jul</t>
  </si>
  <si>
    <t>25-Jul</t>
  </si>
  <si>
    <t>26-Jul</t>
  </si>
  <si>
    <t>27-Jul</t>
  </si>
  <si>
    <t>28-Jul</t>
  </si>
  <si>
    <t>29-Jul</t>
  </si>
  <si>
    <t>31-Jul</t>
  </si>
  <si>
    <t>Aug</t>
  </si>
  <si>
    <t>1-Aug</t>
  </si>
  <si>
    <t>2-Aug</t>
  </si>
  <si>
    <t>3-Aug</t>
  </si>
  <si>
    <t>4-Aug</t>
  </si>
  <si>
    <t>5-Aug</t>
  </si>
  <si>
    <t>6-Aug</t>
  </si>
  <si>
    <t>10-Aug</t>
  </si>
  <si>
    <t>11-Aug</t>
  </si>
  <si>
    <t>12-Aug</t>
  </si>
  <si>
    <t>13-Aug</t>
  </si>
  <si>
    <t>14-Aug</t>
  </si>
  <si>
    <t>17-Aug</t>
  </si>
  <si>
    <t>19-Aug</t>
  </si>
  <si>
    <t>21-Aug</t>
  </si>
  <si>
    <t>22-Aug</t>
  </si>
  <si>
    <t>23-Aug</t>
  </si>
  <si>
    <t>25-Aug</t>
  </si>
  <si>
    <t>26-Aug</t>
  </si>
  <si>
    <t>27-Aug</t>
  </si>
  <si>
    <t>28-Aug</t>
  </si>
  <si>
    <t>29-Aug</t>
  </si>
  <si>
    <t>31-Aug</t>
  </si>
  <si>
    <t xml:space="preserve"> Date</t>
  </si>
  <si>
    <t>Total Amount</t>
  </si>
  <si>
    <t>Month</t>
  </si>
  <si>
    <t>Total box</t>
  </si>
  <si>
    <t>8.09-28.09</t>
  </si>
  <si>
    <t>28.09-48.09</t>
  </si>
  <si>
    <t>48.09-68.09</t>
  </si>
  <si>
    <t>68.09-88.09</t>
  </si>
  <si>
    <t>88.09-108.09</t>
  </si>
  <si>
    <t>108.09-128.09</t>
  </si>
  <si>
    <t>128.09-148.09</t>
  </si>
  <si>
    <t>148.09-168.09</t>
  </si>
  <si>
    <t>168.09-188.09</t>
  </si>
  <si>
    <t>188.09-208.09</t>
  </si>
  <si>
    <t>208.09-228.09</t>
  </si>
  <si>
    <t>228.09-248.09</t>
  </si>
  <si>
    <t>248.09-268.09</t>
  </si>
  <si>
    <t>268.09-288.09</t>
  </si>
  <si>
    <t>288.09-308.09</t>
  </si>
  <si>
    <t>308.09-328.09</t>
  </si>
  <si>
    <t>328.09-348.09</t>
  </si>
  <si>
    <t>348.09-368.09</t>
  </si>
  <si>
    <t>368.09-388.09</t>
  </si>
  <si>
    <t>388.09-408.09</t>
  </si>
  <si>
    <t>408.09-428.09</t>
  </si>
  <si>
    <t>428.09-448.09</t>
  </si>
  <si>
    <t>468.09-488.09</t>
  </si>
  <si>
    <t>488.09-508.09</t>
  </si>
  <si>
    <t>Distribution</t>
  </si>
  <si>
    <t>1-2</t>
  </si>
  <si>
    <t>3-4</t>
  </si>
  <si>
    <t>5-6</t>
  </si>
  <si>
    <t>7-8</t>
  </si>
  <si>
    <t>9-10</t>
  </si>
  <si>
    <t>11-12</t>
  </si>
  <si>
    <t>13-14</t>
  </si>
  <si>
    <t>15-16</t>
  </si>
  <si>
    <t>17-18</t>
  </si>
  <si>
    <t>19-20</t>
  </si>
  <si>
    <t>KPIS</t>
  </si>
  <si>
    <t>GMV</t>
  </si>
  <si>
    <t>Total order</t>
  </si>
  <si>
    <t>AOV</t>
  </si>
  <si>
    <t xml:space="preserve"> </t>
  </si>
  <si>
    <t>AVG Amount</t>
  </si>
  <si>
    <t>Column2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</si>
</sst>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6"/>
      <color theme="1"/>
      <name val="Times New Roman"/>
      <family val="1"/>
    </font>
    <font>
      <sz val="14"/>
      <color theme="1"/>
      <name val="Times New Roman"/>
      <family val="1"/>
    </font>
  </fonts>
  <fills count="4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5"/>
        <bgColor theme="5"/>
      </patternFill>
    </fill>
    <fill>
      <patternFill patternType="solid">
        <fgColor theme="5" tint="0.79998168889431442"/>
        <bgColor theme="5" tint="0.79998168889431442"/>
      </patternFill>
    </fill>
    <fill>
      <patternFill patternType="solid">
        <fgColor theme="7"/>
        <bgColor theme="7"/>
      </patternFill>
    </fill>
    <fill>
      <patternFill patternType="solid">
        <fgColor theme="7" tint="0.79998168889431442"/>
        <bgColor theme="7" tint="0.79998168889431442"/>
      </patternFill>
    </fill>
    <fill>
      <patternFill patternType="solid">
        <fgColor theme="7" tint="0.59999389629810485"/>
        <bgColor theme="7" tint="0.59999389629810485"/>
      </patternFill>
    </fill>
    <fill>
      <patternFill patternType="solid">
        <fgColor theme="5" tint="0.59999389629810485"/>
        <bgColor theme="5" tint="0.59999389629810485"/>
      </patternFill>
    </fill>
    <fill>
      <patternFill patternType="solid">
        <fgColor theme="0" tint="-4.9989318521683403E-2"/>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5" tint="0.39997558519241921"/>
      </left>
      <right/>
      <top style="thin">
        <color theme="5" tint="0.39997558519241921"/>
      </top>
      <bottom style="thin">
        <color theme="5" tint="0.39997558519241921"/>
      </bottom>
      <diagonal/>
    </border>
    <border>
      <left style="thin">
        <color theme="5" tint="0.39997558519241921"/>
      </left>
      <right/>
      <top style="thin">
        <color theme="5" tint="0.39997558519241921"/>
      </top>
      <bottom/>
      <diagonal/>
    </border>
    <border>
      <left style="thin">
        <color theme="7" tint="0.39997558519241921"/>
      </left>
      <right/>
      <top style="thin">
        <color theme="7" tint="0.39997558519241921"/>
      </top>
      <bottom/>
      <diagonal/>
    </border>
    <border>
      <left style="thin">
        <color theme="0"/>
      </left>
      <right/>
      <top style="thin">
        <color theme="0"/>
      </top>
      <bottom/>
      <diagonal/>
    </border>
    <border>
      <left style="thin">
        <color theme="0"/>
      </left>
      <right/>
      <top/>
      <bottom/>
      <diagonal/>
    </border>
    <border>
      <left/>
      <right/>
      <top style="thin">
        <color theme="0"/>
      </top>
      <bottom/>
      <diagonal/>
    </border>
    <border>
      <left style="thin">
        <color theme="0"/>
      </left>
      <right style="thin">
        <color theme="7" tint="0.39997558519241921"/>
      </right>
      <top style="thin">
        <color theme="7" tint="0.39997558519241921"/>
      </top>
      <bottom/>
      <diagonal/>
    </border>
    <border>
      <left style="thin">
        <color theme="0"/>
      </left>
      <right style="thin">
        <color theme="5" tint="0.39997558519241921"/>
      </right>
      <top style="thin">
        <color theme="5" tint="0.39997558519241921"/>
      </top>
      <bottom style="thin">
        <color theme="5" tint="0.39997558519241921"/>
      </bottom>
      <diagonal/>
    </border>
    <border>
      <left style="thin">
        <color theme="0"/>
      </left>
      <right style="thin">
        <color theme="5" tint="0.39997558519241921"/>
      </right>
      <top style="thin">
        <color theme="5"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5">
    <xf numFmtId="0" fontId="0" fillId="0" borderId="0" xfId="0"/>
    <xf numFmtId="14" fontId="0" fillId="0" borderId="0" xfId="0" applyNumberFormat="1"/>
    <xf numFmtId="0" fontId="13" fillId="36" borderId="11" xfId="0" applyFont="1" applyFill="1" applyBorder="1"/>
    <xf numFmtId="0" fontId="0" fillId="37" borderId="11" xfId="0" applyFont="1" applyFill="1" applyBorder="1"/>
    <xf numFmtId="0" fontId="13" fillId="38" borderId="12" xfId="0" applyFont="1" applyFill="1" applyBorder="1"/>
    <xf numFmtId="0" fontId="0" fillId="39" borderId="12" xfId="0" applyFont="1" applyFill="1" applyBorder="1"/>
    <xf numFmtId="0" fontId="0" fillId="34" borderId="13" xfId="0" applyFont="1" applyFill="1" applyBorder="1"/>
    <xf numFmtId="0" fontId="13" fillId="33" borderId="0" xfId="0" applyFont="1" applyFill="1" applyBorder="1"/>
    <xf numFmtId="0" fontId="13" fillId="33" borderId="14" xfId="0" applyFont="1" applyFill="1" applyBorder="1"/>
    <xf numFmtId="0" fontId="0" fillId="35" borderId="15" xfId="0" applyFont="1" applyFill="1" applyBorder="1"/>
    <xf numFmtId="0" fontId="0" fillId="35" borderId="13" xfId="0" applyFont="1" applyFill="1" applyBorder="1"/>
    <xf numFmtId="0" fontId="0" fillId="34" borderId="15" xfId="0" applyFont="1" applyFill="1" applyBorder="1"/>
    <xf numFmtId="0" fontId="13" fillId="38" borderId="16" xfId="0" applyFont="1" applyFill="1" applyBorder="1"/>
    <xf numFmtId="0" fontId="0" fillId="39" borderId="16" xfId="0" applyFont="1" applyFill="1" applyBorder="1"/>
    <xf numFmtId="49" fontId="0" fillId="0" borderId="0" xfId="0" applyNumberFormat="1"/>
    <xf numFmtId="2" fontId="0" fillId="0" borderId="0" xfId="0" applyNumberFormat="1"/>
    <xf numFmtId="164" fontId="0" fillId="0" borderId="0" xfId="0" applyNumberFormat="1"/>
    <xf numFmtId="0" fontId="0" fillId="40" borderId="12" xfId="0" applyFont="1" applyFill="1" applyBorder="1"/>
    <xf numFmtId="0" fontId="0" fillId="40" borderId="16" xfId="0" applyFont="1" applyFill="1" applyBorder="1"/>
    <xf numFmtId="0" fontId="13" fillId="36" borderId="18" xfId="0" applyFont="1" applyFill="1" applyBorder="1"/>
    <xf numFmtId="0" fontId="0" fillId="41" borderId="11" xfId="0" applyFont="1" applyFill="1" applyBorder="1"/>
    <xf numFmtId="0" fontId="0" fillId="41" borderId="18" xfId="0" applyFont="1" applyFill="1" applyBorder="1"/>
    <xf numFmtId="0" fontId="0" fillId="37" borderId="18" xfId="0" applyFont="1" applyFill="1" applyBorder="1"/>
    <xf numFmtId="0" fontId="0" fillId="41" borderId="10" xfId="0" applyFont="1" applyFill="1" applyBorder="1"/>
    <xf numFmtId="0" fontId="0" fillId="41" borderId="17" xfId="0" applyFont="1" applyFill="1" applyBorder="1"/>
    <xf numFmtId="0" fontId="0" fillId="0" borderId="0" xfId="0" pivotButton="1"/>
    <xf numFmtId="14" fontId="0" fillId="0" borderId="0" xfId="0" applyNumberFormat="1" applyAlignment="1">
      <alignment horizontal="left"/>
    </xf>
    <xf numFmtId="0" fontId="0" fillId="0" borderId="0" xfId="0" applyAlignment="1">
      <alignment horizontal="left"/>
    </xf>
    <xf numFmtId="0" fontId="0" fillId="0" borderId="0" xfId="0" applyNumberFormat="1"/>
    <xf numFmtId="164" fontId="0" fillId="0" borderId="0" xfId="0" applyNumberFormat="1" applyAlignment="1">
      <alignment horizontal="left"/>
    </xf>
    <xf numFmtId="2" fontId="0" fillId="0" borderId="0" xfId="0" applyNumberFormat="1" applyAlignment="1">
      <alignment horizontal="left"/>
    </xf>
    <xf numFmtId="0" fontId="0" fillId="0" borderId="0" xfId="0" applyAlignment="1">
      <alignment horizontal="left" indent="1"/>
    </xf>
    <xf numFmtId="0" fontId="0" fillId="42" borderId="0" xfId="0" applyFill="1"/>
    <xf numFmtId="0" fontId="18" fillId="42" borderId="0" xfId="0" applyFont="1" applyFill="1"/>
    <xf numFmtId="0" fontId="19" fillId="42"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
    <dxf>
      <numFmt numFmtId="0" formatCode="General"/>
    </dxf>
    <dxf>
      <alignment horizontal="left" vertical="bottom" textRotation="0" wrapText="0" indent="0" justifyLastLine="0" shrinkToFit="0" readingOrder="0"/>
    </dxf>
    <dxf>
      <numFmt numFmtId="0" formatCode="General"/>
    </dxf>
    <dxf>
      <numFmt numFmtId="30" formatCode="@"/>
    </dxf>
    <dxf>
      <numFmt numFmtId="164" formatCode="&quot;$&quot;#,##0.00"/>
    </dxf>
    <dxf>
      <numFmt numFmtId="2" formatCode="0.00"/>
    </dxf>
    <dxf>
      <numFmt numFmtId="30" formatCode="@"/>
    </dxf>
    <dxf>
      <numFmt numFmtId="30" formatCode="@"/>
    </dxf>
    <dxf>
      <numFmt numFmtId="19" formatCode="m/d/yyyy"/>
    </dxf>
    <dxf>
      <numFmt numFmtId="19" formatCode="m/d/yyyy"/>
    </dxf>
  </dxfs>
  <tableStyles count="0" defaultTableStyle="TableStyleMedium2" defaultPivotStyle="PivotStyleLight16"/>
  <colors>
    <mruColors>
      <color rgb="FF71BD44"/>
      <color rgb="FFFF5050"/>
      <color rgb="FF6600CC"/>
      <color rgb="FFDAA52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[Pharmacity_Sales_Analysis_V1.xlsx]Data_analysis!PivotTable2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rgbClr val="71BD44"/>
                </a:solidFill>
                <a:latin typeface="Times New Roman" panose="02020603050405020304" pitchFamily="18" charset="0"/>
                <a:cs typeface="Times New Roman" panose="02020603050405020304" pitchFamily="18" charset="0"/>
              </a:rPr>
              <a:t>Tổng</a:t>
            </a:r>
            <a:r>
              <a:rPr lang="en-US" sz="1400" b="1" baseline="0">
                <a:solidFill>
                  <a:srgbClr val="71BD44"/>
                </a:solidFill>
                <a:latin typeface="Times New Roman" panose="02020603050405020304" pitchFamily="18" charset="0"/>
                <a:cs typeface="Times New Roman" panose="02020603050405020304" pitchFamily="18" charset="0"/>
              </a:rPr>
              <a:t> Doanh Thu Theo Product</a:t>
            </a:r>
            <a:endParaRPr lang="en-US" sz="1400" b="1">
              <a:solidFill>
                <a:srgbClr val="71BD44"/>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71BD44"/>
          </a:solidFill>
          <a:ln>
            <a:solidFill>
              <a:schemeClr val="accent6">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Data_analysis!$B$3</c:f>
              <c:strCache>
                <c:ptCount val="1"/>
                <c:pt idx="0">
                  <c:v>Total</c:v>
                </c:pt>
              </c:strCache>
            </c:strRef>
          </c:tx>
          <c:spPr>
            <a:solidFill>
              <a:srgbClr val="71BD44"/>
            </a:solidFill>
            <a:ln>
              <a:solidFill>
                <a:schemeClr val="accent6">
                  <a:lumMod val="7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Data_analysis!$A$4:$A$11</c:f>
              <c:strCache>
                <c:ptCount val="7"/>
                <c:pt idx="0">
                  <c:v>Digestive Enzyme</c:v>
                </c:pt>
                <c:pt idx="1">
                  <c:v>Antiseptic Cream</c:v>
                </c:pt>
                <c:pt idx="2">
                  <c:v>Nasal Spray</c:v>
                </c:pt>
                <c:pt idx="3">
                  <c:v>Eye Drops</c:v>
                </c:pt>
                <c:pt idx="4">
                  <c:v>Cough Syrup</c:v>
                </c:pt>
                <c:pt idx="5">
                  <c:v>Allergy Pills</c:v>
                </c:pt>
                <c:pt idx="6">
                  <c:v>Pain Relief Tablets</c:v>
                </c:pt>
              </c:strCache>
            </c:strRef>
          </c:cat>
          <c:val>
            <c:numRef>
              <c:f>Data_analysis!$B$4:$B$11</c:f>
              <c:numCache>
                <c:formatCode>General</c:formatCode>
                <c:ptCount val="7"/>
                <c:pt idx="0">
                  <c:v>11056.61</c:v>
                </c:pt>
                <c:pt idx="1">
                  <c:v>9736.2800000000007</c:v>
                </c:pt>
                <c:pt idx="2">
                  <c:v>8407.3599999999988</c:v>
                </c:pt>
                <c:pt idx="3">
                  <c:v>8036.3600000000006</c:v>
                </c:pt>
                <c:pt idx="4">
                  <c:v>7917.0100000000011</c:v>
                </c:pt>
                <c:pt idx="5">
                  <c:v>7782.5799999999972</c:v>
                </c:pt>
                <c:pt idx="6">
                  <c:v>5993.0900000000011</c:v>
                </c:pt>
              </c:numCache>
            </c:numRef>
          </c:val>
          <c:extLst>
            <c:ext xmlns:c16="http://schemas.microsoft.com/office/drawing/2014/chart" uri="{C3380CC4-5D6E-409C-BE32-E72D297353CC}">
              <c16:uniqueId val="{00000000-741F-4B5B-AF00-1C6214CEE3B7}"/>
            </c:ext>
          </c:extLst>
        </c:ser>
        <c:dLbls>
          <c:dLblPos val="outEnd"/>
          <c:showLegendKey val="0"/>
          <c:showVal val="1"/>
          <c:showCatName val="0"/>
          <c:showSerName val="0"/>
          <c:showPercent val="0"/>
          <c:showBubbleSize val="0"/>
        </c:dLbls>
        <c:gapWidth val="219"/>
        <c:overlap val="-27"/>
        <c:axId val="2054531232"/>
        <c:axId val="2054538720"/>
      </c:barChart>
      <c:catAx>
        <c:axId val="2054531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4538720"/>
        <c:crosses val="autoZero"/>
        <c:auto val="1"/>
        <c:lblAlgn val="ctr"/>
        <c:lblOffset val="100"/>
        <c:noMultiLvlLbl val="0"/>
      </c:catAx>
      <c:valAx>
        <c:axId val="2054538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45312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[Pharmacity_Sales_Analysis_V1.xlsx]Data_analysis!PivotTable3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rgbClr val="71BD44"/>
                </a:solidFill>
                <a:latin typeface="Times New Roman" panose="02020603050405020304" pitchFamily="18" charset="0"/>
                <a:cs typeface="Times New Roman" panose="02020603050405020304" pitchFamily="18" charset="0"/>
              </a:rPr>
              <a:t>Tổng</a:t>
            </a:r>
            <a:r>
              <a:rPr lang="en-US" sz="1400" b="1" baseline="0">
                <a:solidFill>
                  <a:srgbClr val="71BD44"/>
                </a:solidFill>
                <a:latin typeface="Times New Roman" panose="02020603050405020304" pitchFamily="18" charset="0"/>
                <a:cs typeface="Times New Roman" panose="02020603050405020304" pitchFamily="18" charset="0"/>
              </a:rPr>
              <a:t> Doanh Thu Theo Sales Person</a:t>
            </a:r>
            <a:endParaRPr lang="en-US" sz="1400" b="1">
              <a:solidFill>
                <a:srgbClr val="71BD44"/>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1BD44"/>
          </a:solidFill>
          <a:ln>
            <a:solidFill>
              <a:schemeClr val="accent6">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Data_analysis!$B$13</c:f>
              <c:strCache>
                <c:ptCount val="1"/>
                <c:pt idx="0">
                  <c:v>Total</c:v>
                </c:pt>
              </c:strCache>
            </c:strRef>
          </c:tx>
          <c:spPr>
            <a:solidFill>
              <a:srgbClr val="71BD44"/>
            </a:solidFill>
            <a:ln>
              <a:solidFill>
                <a:schemeClr val="accent6">
                  <a:lumMod val="7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Data_analysis!$A$14:$A$21</c:f>
              <c:strCache>
                <c:ptCount val="7"/>
                <c:pt idx="0">
                  <c:v>Rajesh Patel</c:v>
                </c:pt>
                <c:pt idx="1">
                  <c:v>Nikhil Batra</c:v>
                </c:pt>
                <c:pt idx="2">
                  <c:v>Priya Singh</c:v>
                </c:pt>
                <c:pt idx="3">
                  <c:v>Ritika Shah</c:v>
                </c:pt>
                <c:pt idx="4">
                  <c:v>Aman Verma</c:v>
                </c:pt>
                <c:pt idx="5">
                  <c:v>Divya Mehra</c:v>
                </c:pt>
                <c:pt idx="6">
                  <c:v>Sneha Iyer</c:v>
                </c:pt>
              </c:strCache>
            </c:strRef>
          </c:cat>
          <c:val>
            <c:numRef>
              <c:f>Data_analysis!$B$14:$B$21</c:f>
              <c:numCache>
                <c:formatCode>General</c:formatCode>
                <c:ptCount val="7"/>
                <c:pt idx="0">
                  <c:v>11023.530000000002</c:v>
                </c:pt>
                <c:pt idx="1">
                  <c:v>10416.34</c:v>
                </c:pt>
                <c:pt idx="2">
                  <c:v>9121.7800000000043</c:v>
                </c:pt>
                <c:pt idx="3">
                  <c:v>7945.9699999999993</c:v>
                </c:pt>
                <c:pt idx="4">
                  <c:v>7039.07</c:v>
                </c:pt>
                <c:pt idx="5">
                  <c:v>6896.1499999999987</c:v>
                </c:pt>
                <c:pt idx="6">
                  <c:v>6486.45</c:v>
                </c:pt>
              </c:numCache>
            </c:numRef>
          </c:val>
          <c:extLst>
            <c:ext xmlns:c16="http://schemas.microsoft.com/office/drawing/2014/chart" uri="{C3380CC4-5D6E-409C-BE32-E72D297353CC}">
              <c16:uniqueId val="{00000000-F4B7-4E46-8612-E64AED125215}"/>
            </c:ext>
          </c:extLst>
        </c:ser>
        <c:dLbls>
          <c:dLblPos val="outEnd"/>
          <c:showLegendKey val="0"/>
          <c:showVal val="1"/>
          <c:showCatName val="0"/>
          <c:showSerName val="0"/>
          <c:showPercent val="0"/>
          <c:showBubbleSize val="0"/>
        </c:dLbls>
        <c:gapWidth val="219"/>
        <c:overlap val="-27"/>
        <c:axId val="1709116848"/>
        <c:axId val="1709117264"/>
      </c:barChart>
      <c:catAx>
        <c:axId val="1709116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9117264"/>
        <c:crosses val="autoZero"/>
        <c:auto val="1"/>
        <c:lblAlgn val="ctr"/>
        <c:lblOffset val="100"/>
        <c:noMultiLvlLbl val="0"/>
      </c:catAx>
      <c:valAx>
        <c:axId val="1709117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91168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[Pharmacity_Sales_Analysis_V1.xlsx]Data_analysis!PivotTable5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rgbClr val="71BD44"/>
                </a:solidFill>
                <a:latin typeface="Times New Roman" panose="02020603050405020304" pitchFamily="18" charset="0"/>
                <a:cs typeface="Times New Roman" panose="02020603050405020304" pitchFamily="18" charset="0"/>
              </a:rPr>
              <a:t>Tổng</a:t>
            </a:r>
            <a:r>
              <a:rPr lang="en-US" sz="1400" b="1" baseline="0">
                <a:solidFill>
                  <a:srgbClr val="71BD44"/>
                </a:solidFill>
                <a:latin typeface="Times New Roman" panose="02020603050405020304" pitchFamily="18" charset="0"/>
                <a:cs typeface="Times New Roman" panose="02020603050405020304" pitchFamily="18" charset="0"/>
              </a:rPr>
              <a:t> Doanh Thu Theo Month</a:t>
            </a:r>
            <a:endParaRPr lang="en-US" sz="1400" b="1">
              <a:solidFill>
                <a:srgbClr val="71BD44"/>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1BD44"/>
          </a:solidFill>
          <a:ln>
            <a:solidFill>
              <a:schemeClr val="accent6">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Data_analysis!$B$31</c:f>
              <c:strCache>
                <c:ptCount val="1"/>
                <c:pt idx="0">
                  <c:v>Total</c:v>
                </c:pt>
              </c:strCache>
            </c:strRef>
          </c:tx>
          <c:spPr>
            <a:solidFill>
              <a:srgbClr val="71BD44"/>
            </a:solidFill>
            <a:ln>
              <a:solidFill>
                <a:schemeClr val="accent6">
                  <a:lumMod val="7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Data_analysis!$A$32:$A$40</c:f>
              <c:strCache>
                <c:ptCount val="8"/>
                <c:pt idx="0">
                  <c:v>Jan</c:v>
                </c:pt>
                <c:pt idx="1">
                  <c:v>Feb</c:v>
                </c:pt>
                <c:pt idx="2">
                  <c:v>Mar</c:v>
                </c:pt>
                <c:pt idx="3">
                  <c:v>Apr</c:v>
                </c:pt>
                <c:pt idx="4">
                  <c:v>May</c:v>
                </c:pt>
                <c:pt idx="5">
                  <c:v>Jun</c:v>
                </c:pt>
                <c:pt idx="6">
                  <c:v>Jul</c:v>
                </c:pt>
                <c:pt idx="7">
                  <c:v>Aug</c:v>
                </c:pt>
              </c:strCache>
            </c:strRef>
          </c:cat>
          <c:val>
            <c:numRef>
              <c:f>Data_analysis!$B$32:$B$40</c:f>
              <c:numCache>
                <c:formatCode>General</c:formatCode>
                <c:ptCount val="8"/>
                <c:pt idx="0">
                  <c:v>5536.3900000000012</c:v>
                </c:pt>
                <c:pt idx="1">
                  <c:v>7451.5000000000009</c:v>
                </c:pt>
                <c:pt idx="2">
                  <c:v>7062.15</c:v>
                </c:pt>
                <c:pt idx="3">
                  <c:v>7339.1499999999987</c:v>
                </c:pt>
                <c:pt idx="4">
                  <c:v>8884.9999999999982</c:v>
                </c:pt>
                <c:pt idx="5">
                  <c:v>7019.5599999999995</c:v>
                </c:pt>
                <c:pt idx="6">
                  <c:v>8754.4399999999987</c:v>
                </c:pt>
                <c:pt idx="7">
                  <c:v>6881.0999999999976</c:v>
                </c:pt>
              </c:numCache>
            </c:numRef>
          </c:val>
          <c:extLst>
            <c:ext xmlns:c16="http://schemas.microsoft.com/office/drawing/2014/chart" uri="{C3380CC4-5D6E-409C-BE32-E72D297353CC}">
              <c16:uniqueId val="{00000000-2F29-4556-96BF-B109F35F309F}"/>
            </c:ext>
          </c:extLst>
        </c:ser>
        <c:dLbls>
          <c:dLblPos val="outEnd"/>
          <c:showLegendKey val="0"/>
          <c:showVal val="1"/>
          <c:showCatName val="0"/>
          <c:showSerName val="0"/>
          <c:showPercent val="0"/>
          <c:showBubbleSize val="0"/>
        </c:dLbls>
        <c:gapWidth val="219"/>
        <c:overlap val="-27"/>
        <c:axId val="170663808"/>
        <c:axId val="170669216"/>
      </c:barChart>
      <c:catAx>
        <c:axId val="170663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669216"/>
        <c:crosses val="autoZero"/>
        <c:auto val="1"/>
        <c:lblAlgn val="ctr"/>
        <c:lblOffset val="100"/>
        <c:noMultiLvlLbl val="0"/>
      </c:catAx>
      <c:valAx>
        <c:axId val="170669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6638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[Pharmacity_Sales_Analysis_V1.xlsx]Data_analysis!PivotTable4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rgbClr val="71BD44"/>
                </a:solidFill>
                <a:latin typeface="Times New Roman" panose="02020603050405020304" pitchFamily="18" charset="0"/>
                <a:cs typeface="Times New Roman" panose="02020603050405020304" pitchFamily="18" charset="0"/>
              </a:rPr>
              <a:t>Cơ</a:t>
            </a:r>
            <a:r>
              <a:rPr lang="en-US" sz="1400" b="1" baseline="0">
                <a:solidFill>
                  <a:srgbClr val="71BD44"/>
                </a:solidFill>
                <a:latin typeface="Times New Roman" panose="02020603050405020304" pitchFamily="18" charset="0"/>
                <a:cs typeface="Times New Roman" panose="02020603050405020304" pitchFamily="18" charset="0"/>
              </a:rPr>
              <a:t> Cấu Tổng Doanh Thu Theo Country</a:t>
            </a:r>
            <a:endParaRPr lang="en-US" sz="1400" b="1">
              <a:solidFill>
                <a:srgbClr val="71BD44"/>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71BD44"/>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rgbClr val="7030A0"/>
          </a:solidFill>
          <a:ln w="19050">
            <a:solidFill>
              <a:schemeClr val="lt1"/>
            </a:solidFill>
          </a:ln>
          <a:effectLst/>
        </c:spPr>
      </c:pivotFmt>
      <c:pivotFmt>
        <c:idx val="11"/>
        <c:spPr>
          <a:solidFill>
            <a:srgbClr val="DAA520"/>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Data_analysis!$B$23</c:f>
              <c:strCache>
                <c:ptCount val="1"/>
                <c:pt idx="0">
                  <c:v>Total</c:v>
                </c:pt>
              </c:strCache>
            </c:strRef>
          </c:tx>
          <c:dPt>
            <c:idx val="0"/>
            <c:bubble3D val="0"/>
            <c:spPr>
              <a:solidFill>
                <a:srgbClr val="71BD44"/>
              </a:solidFill>
              <a:ln w="19050">
                <a:solidFill>
                  <a:schemeClr val="lt1"/>
                </a:solidFill>
              </a:ln>
              <a:effectLst/>
            </c:spPr>
            <c:extLst>
              <c:ext xmlns:c16="http://schemas.microsoft.com/office/drawing/2014/chart" uri="{C3380CC4-5D6E-409C-BE32-E72D297353CC}">
                <c16:uniqueId val="{00000001-2133-49B2-B6A0-EAB99836D7B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133-49B2-B6A0-EAB99836D7BB}"/>
              </c:ext>
            </c:extLst>
          </c:dPt>
          <c:dPt>
            <c:idx val="2"/>
            <c:bubble3D val="0"/>
            <c:spPr>
              <a:solidFill>
                <a:srgbClr val="7030A0"/>
              </a:solidFill>
              <a:ln w="19050">
                <a:solidFill>
                  <a:schemeClr val="lt1"/>
                </a:solidFill>
              </a:ln>
              <a:effectLst/>
            </c:spPr>
            <c:extLst>
              <c:ext xmlns:c16="http://schemas.microsoft.com/office/drawing/2014/chart" uri="{C3380CC4-5D6E-409C-BE32-E72D297353CC}">
                <c16:uniqueId val="{00000005-2133-49B2-B6A0-EAB99836D7BB}"/>
              </c:ext>
            </c:extLst>
          </c:dPt>
          <c:dPt>
            <c:idx val="3"/>
            <c:bubble3D val="0"/>
            <c:spPr>
              <a:solidFill>
                <a:srgbClr val="DAA520"/>
              </a:solidFill>
              <a:ln w="19050">
                <a:solidFill>
                  <a:schemeClr val="lt1"/>
                </a:solidFill>
              </a:ln>
              <a:effectLst/>
            </c:spPr>
            <c:extLst>
              <c:ext xmlns:c16="http://schemas.microsoft.com/office/drawing/2014/chart" uri="{C3380CC4-5D6E-409C-BE32-E72D297353CC}">
                <c16:uniqueId val="{00000007-2133-49B2-B6A0-EAB99836D7B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133-49B2-B6A0-EAB99836D7B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Data_analysis!$A$24:$A$29</c:f>
              <c:strCache>
                <c:ptCount val="5"/>
                <c:pt idx="0">
                  <c:v>USA</c:v>
                </c:pt>
                <c:pt idx="1">
                  <c:v>UK</c:v>
                </c:pt>
                <c:pt idx="2">
                  <c:v>Canada</c:v>
                </c:pt>
                <c:pt idx="3">
                  <c:v>India</c:v>
                </c:pt>
                <c:pt idx="4">
                  <c:v>Australia</c:v>
                </c:pt>
              </c:strCache>
            </c:strRef>
          </c:cat>
          <c:val>
            <c:numRef>
              <c:f>Data_analysis!$B$24:$B$29</c:f>
              <c:numCache>
                <c:formatCode>General</c:formatCode>
                <c:ptCount val="5"/>
                <c:pt idx="0">
                  <c:v>14109.479999999998</c:v>
                </c:pt>
                <c:pt idx="1">
                  <c:v>12032.300000000003</c:v>
                </c:pt>
                <c:pt idx="2">
                  <c:v>11967.079999999998</c:v>
                </c:pt>
                <c:pt idx="3">
                  <c:v>11122.060000000005</c:v>
                </c:pt>
                <c:pt idx="4">
                  <c:v>9698.3700000000008</c:v>
                </c:pt>
              </c:numCache>
            </c:numRef>
          </c:val>
          <c:extLst>
            <c:ext xmlns:c16="http://schemas.microsoft.com/office/drawing/2014/chart" uri="{C3380CC4-5D6E-409C-BE32-E72D297353CC}">
              <c16:uniqueId val="{0000000A-2133-49B2-B6A0-EAB99836D7B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[Pharmacity_Sales_Analysis_V1.xlsx]Data_analysis!PivotTable7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rgbClr val="71BD44"/>
                </a:solidFill>
                <a:latin typeface="Times New Roman" panose="02020603050405020304" pitchFamily="18" charset="0"/>
                <a:cs typeface="Times New Roman" panose="02020603050405020304" pitchFamily="18" charset="0"/>
              </a:rPr>
              <a:t>Tổng</a:t>
            </a:r>
            <a:r>
              <a:rPr lang="en-US" sz="1400" b="1" baseline="0">
                <a:solidFill>
                  <a:srgbClr val="71BD44"/>
                </a:solidFill>
                <a:latin typeface="Times New Roman" panose="02020603050405020304" pitchFamily="18" charset="0"/>
                <a:cs typeface="Times New Roman" panose="02020603050405020304" pitchFamily="18" charset="0"/>
              </a:rPr>
              <a:t> Doanh Thu Theo Date</a:t>
            </a:r>
            <a:endParaRPr lang="en-US" sz="1400" b="1">
              <a:solidFill>
                <a:srgbClr val="71BD44"/>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28575" cap="rnd">
            <a:solidFill>
              <a:srgbClr val="DAA52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DAA520"/>
            </a:solidFill>
            <a:round/>
          </a:ln>
          <a:effectLst/>
        </c:spPr>
        <c:marker>
          <c:symbol val="none"/>
        </c:marker>
      </c:pivotFmt>
    </c:pivotFmts>
    <c:plotArea>
      <c:layout/>
      <c:lineChart>
        <c:grouping val="standard"/>
        <c:varyColors val="0"/>
        <c:ser>
          <c:idx val="0"/>
          <c:order val="0"/>
          <c:tx>
            <c:strRef>
              <c:f>Data_analysis!$B$42</c:f>
              <c:strCache>
                <c:ptCount val="1"/>
                <c:pt idx="0">
                  <c:v>Total</c:v>
                </c:pt>
              </c:strCache>
            </c:strRef>
          </c:tx>
          <c:spPr>
            <a:ln w="28575" cap="rnd">
              <a:solidFill>
                <a:srgbClr val="DAA520"/>
              </a:solidFill>
              <a:round/>
            </a:ln>
            <a:effectLst/>
          </c:spPr>
          <c:marker>
            <c:symbol val="none"/>
          </c:marker>
          <c:dPt>
            <c:idx val="3"/>
            <c:marker>
              <c:symbol val="none"/>
            </c:marker>
            <c:bubble3D val="0"/>
            <c:spPr>
              <a:ln w="28575" cap="rnd">
                <a:solidFill>
                  <a:srgbClr val="DAA520"/>
                </a:solidFill>
                <a:round/>
              </a:ln>
              <a:effectLst/>
            </c:spPr>
            <c:extLst>
              <c:ext xmlns:c16="http://schemas.microsoft.com/office/drawing/2014/chart" uri="{C3380CC4-5D6E-409C-BE32-E72D297353CC}">
                <c16:uniqueId val="{00000002-1D4D-47F4-89A9-02CA80A063D9}"/>
              </c:ext>
            </c:extLst>
          </c:dPt>
          <c:cat>
            <c:strRef>
              <c:f>Data_analysis!$A$43:$A$222</c:f>
              <c:strCache>
                <c:ptCount val="179"/>
                <c:pt idx="0">
                  <c:v>2-Jan</c:v>
                </c:pt>
                <c:pt idx="1">
                  <c:v>5-Jan</c:v>
                </c:pt>
                <c:pt idx="2">
                  <c:v>6-Jan</c:v>
                </c:pt>
                <c:pt idx="3">
                  <c:v>7-Jan</c:v>
                </c:pt>
                <c:pt idx="4">
                  <c:v>8-Jan</c:v>
                </c:pt>
                <c:pt idx="5">
                  <c:v>10-Jan</c:v>
                </c:pt>
                <c:pt idx="6">
                  <c:v>11-Jan</c:v>
                </c:pt>
                <c:pt idx="7">
                  <c:v>13-Jan</c:v>
                </c:pt>
                <c:pt idx="8">
                  <c:v>14-Jan</c:v>
                </c:pt>
                <c:pt idx="9">
                  <c:v>15-Jan</c:v>
                </c:pt>
                <c:pt idx="10">
                  <c:v>16-Jan</c:v>
                </c:pt>
                <c:pt idx="11">
                  <c:v>17-Jan</c:v>
                </c:pt>
                <c:pt idx="12">
                  <c:v>18-Jan</c:v>
                </c:pt>
                <c:pt idx="13">
                  <c:v>19-Jan</c:v>
                </c:pt>
                <c:pt idx="14">
                  <c:v>21-Jan</c:v>
                </c:pt>
                <c:pt idx="15">
                  <c:v>22-Jan</c:v>
                </c:pt>
                <c:pt idx="16">
                  <c:v>24-Jan</c:v>
                </c:pt>
                <c:pt idx="17">
                  <c:v>26-Jan</c:v>
                </c:pt>
                <c:pt idx="18">
                  <c:v>27-Jan</c:v>
                </c:pt>
                <c:pt idx="19">
                  <c:v>28-Jan</c:v>
                </c:pt>
                <c:pt idx="20">
                  <c:v>29-Jan</c:v>
                </c:pt>
                <c:pt idx="21">
                  <c:v>31-Jan</c:v>
                </c:pt>
                <c:pt idx="22">
                  <c:v>1-Feb</c:v>
                </c:pt>
                <c:pt idx="23">
                  <c:v>2-Feb</c:v>
                </c:pt>
                <c:pt idx="24">
                  <c:v>3-Feb</c:v>
                </c:pt>
                <c:pt idx="25">
                  <c:v>5-Feb</c:v>
                </c:pt>
                <c:pt idx="26">
                  <c:v>6-Feb</c:v>
                </c:pt>
                <c:pt idx="27">
                  <c:v>8-Feb</c:v>
                </c:pt>
                <c:pt idx="28">
                  <c:v>9-Feb</c:v>
                </c:pt>
                <c:pt idx="29">
                  <c:v>11-Feb</c:v>
                </c:pt>
                <c:pt idx="30">
                  <c:v>12-Feb</c:v>
                </c:pt>
                <c:pt idx="31">
                  <c:v>13-Feb</c:v>
                </c:pt>
                <c:pt idx="32">
                  <c:v>14-Feb</c:v>
                </c:pt>
                <c:pt idx="33">
                  <c:v>16-Feb</c:v>
                </c:pt>
                <c:pt idx="34">
                  <c:v>18-Feb</c:v>
                </c:pt>
                <c:pt idx="35">
                  <c:v>19-Feb</c:v>
                </c:pt>
                <c:pt idx="36">
                  <c:v>20-Feb</c:v>
                </c:pt>
                <c:pt idx="37">
                  <c:v>21-Feb</c:v>
                </c:pt>
                <c:pt idx="38">
                  <c:v>23-Feb</c:v>
                </c:pt>
                <c:pt idx="39">
                  <c:v>25-Feb</c:v>
                </c:pt>
                <c:pt idx="40">
                  <c:v>27-Feb</c:v>
                </c:pt>
                <c:pt idx="41">
                  <c:v>28-Feb</c:v>
                </c:pt>
                <c:pt idx="42">
                  <c:v>2-Mar</c:v>
                </c:pt>
                <c:pt idx="43">
                  <c:v>3-Mar</c:v>
                </c:pt>
                <c:pt idx="44">
                  <c:v>4-Mar</c:v>
                </c:pt>
                <c:pt idx="45">
                  <c:v>7-Mar</c:v>
                </c:pt>
                <c:pt idx="46">
                  <c:v>9-Mar</c:v>
                </c:pt>
                <c:pt idx="47">
                  <c:v>10-Mar</c:v>
                </c:pt>
                <c:pt idx="48">
                  <c:v>11-Mar</c:v>
                </c:pt>
                <c:pt idx="49">
                  <c:v>13-Mar</c:v>
                </c:pt>
                <c:pt idx="50">
                  <c:v>14-Mar</c:v>
                </c:pt>
                <c:pt idx="51">
                  <c:v>16-Mar</c:v>
                </c:pt>
                <c:pt idx="52">
                  <c:v>17-Mar</c:v>
                </c:pt>
                <c:pt idx="53">
                  <c:v>18-Mar</c:v>
                </c:pt>
                <c:pt idx="54">
                  <c:v>20-Mar</c:v>
                </c:pt>
                <c:pt idx="55">
                  <c:v>21-Mar</c:v>
                </c:pt>
                <c:pt idx="56">
                  <c:v>22-Mar</c:v>
                </c:pt>
                <c:pt idx="57">
                  <c:v>23-Mar</c:v>
                </c:pt>
                <c:pt idx="58">
                  <c:v>24-Mar</c:v>
                </c:pt>
                <c:pt idx="59">
                  <c:v>25-Mar</c:v>
                </c:pt>
                <c:pt idx="60">
                  <c:v>26-Mar</c:v>
                </c:pt>
                <c:pt idx="61">
                  <c:v>27-Mar</c:v>
                </c:pt>
                <c:pt idx="62">
                  <c:v>28-Mar</c:v>
                </c:pt>
                <c:pt idx="63">
                  <c:v>29-Mar</c:v>
                </c:pt>
                <c:pt idx="64">
                  <c:v>1-Apr</c:v>
                </c:pt>
                <c:pt idx="65">
                  <c:v>3-Apr</c:v>
                </c:pt>
                <c:pt idx="66">
                  <c:v>5-Apr</c:v>
                </c:pt>
                <c:pt idx="67">
                  <c:v>8-Apr</c:v>
                </c:pt>
                <c:pt idx="68">
                  <c:v>11-Apr</c:v>
                </c:pt>
                <c:pt idx="69">
                  <c:v>12-Apr</c:v>
                </c:pt>
                <c:pt idx="70">
                  <c:v>13-Apr</c:v>
                </c:pt>
                <c:pt idx="71">
                  <c:v>14-Apr</c:v>
                </c:pt>
                <c:pt idx="72">
                  <c:v>16-Apr</c:v>
                </c:pt>
                <c:pt idx="73">
                  <c:v>17-Apr</c:v>
                </c:pt>
                <c:pt idx="74">
                  <c:v>19-Apr</c:v>
                </c:pt>
                <c:pt idx="75">
                  <c:v>20-Apr</c:v>
                </c:pt>
                <c:pt idx="76">
                  <c:v>22-Apr</c:v>
                </c:pt>
                <c:pt idx="77">
                  <c:v>23-Apr</c:v>
                </c:pt>
                <c:pt idx="78">
                  <c:v>24-Apr</c:v>
                </c:pt>
                <c:pt idx="79">
                  <c:v>25-Apr</c:v>
                </c:pt>
                <c:pt idx="80">
                  <c:v>26-Apr</c:v>
                </c:pt>
                <c:pt idx="81">
                  <c:v>27-Apr</c:v>
                </c:pt>
                <c:pt idx="82">
                  <c:v>29-Apr</c:v>
                </c:pt>
                <c:pt idx="83">
                  <c:v>30-Apr</c:v>
                </c:pt>
                <c:pt idx="84">
                  <c:v>2-May</c:v>
                </c:pt>
                <c:pt idx="85">
                  <c:v>3-May</c:v>
                </c:pt>
                <c:pt idx="86">
                  <c:v>4-May</c:v>
                </c:pt>
                <c:pt idx="87">
                  <c:v>5-May</c:v>
                </c:pt>
                <c:pt idx="88">
                  <c:v>6-May</c:v>
                </c:pt>
                <c:pt idx="89">
                  <c:v>9-May</c:v>
                </c:pt>
                <c:pt idx="90">
                  <c:v>12-May</c:v>
                </c:pt>
                <c:pt idx="91">
                  <c:v>13-May</c:v>
                </c:pt>
                <c:pt idx="92">
                  <c:v>14-May</c:v>
                </c:pt>
                <c:pt idx="93">
                  <c:v>15-May</c:v>
                </c:pt>
                <c:pt idx="94">
                  <c:v>16-May</c:v>
                </c:pt>
                <c:pt idx="95">
                  <c:v>17-May</c:v>
                </c:pt>
                <c:pt idx="96">
                  <c:v>18-May</c:v>
                </c:pt>
                <c:pt idx="97">
                  <c:v>19-May</c:v>
                </c:pt>
                <c:pt idx="98">
                  <c:v>20-May</c:v>
                </c:pt>
                <c:pt idx="99">
                  <c:v>21-May</c:v>
                </c:pt>
                <c:pt idx="100">
                  <c:v>23-May</c:v>
                </c:pt>
                <c:pt idx="101">
                  <c:v>24-May</c:v>
                </c:pt>
                <c:pt idx="102">
                  <c:v>25-May</c:v>
                </c:pt>
                <c:pt idx="103">
                  <c:v>26-May</c:v>
                </c:pt>
                <c:pt idx="104">
                  <c:v>27-May</c:v>
                </c:pt>
                <c:pt idx="105">
                  <c:v>28-May</c:v>
                </c:pt>
                <c:pt idx="106">
                  <c:v>29-May</c:v>
                </c:pt>
                <c:pt idx="107">
                  <c:v>30-May</c:v>
                </c:pt>
                <c:pt idx="108">
                  <c:v>31-May</c:v>
                </c:pt>
                <c:pt idx="109">
                  <c:v>2-Jun</c:v>
                </c:pt>
                <c:pt idx="110">
                  <c:v>3-Jun</c:v>
                </c:pt>
                <c:pt idx="111">
                  <c:v>4-Jun</c:v>
                </c:pt>
                <c:pt idx="112">
                  <c:v>5-Jun</c:v>
                </c:pt>
                <c:pt idx="113">
                  <c:v>6-Jun</c:v>
                </c:pt>
                <c:pt idx="114">
                  <c:v>7-Jun</c:v>
                </c:pt>
                <c:pt idx="115">
                  <c:v>9-Jun</c:v>
                </c:pt>
                <c:pt idx="116">
                  <c:v>10-Jun</c:v>
                </c:pt>
                <c:pt idx="117">
                  <c:v>11-Jun</c:v>
                </c:pt>
                <c:pt idx="118">
                  <c:v>15-Jun</c:v>
                </c:pt>
                <c:pt idx="119">
                  <c:v>16-Jun</c:v>
                </c:pt>
                <c:pt idx="120">
                  <c:v>17-Jun</c:v>
                </c:pt>
                <c:pt idx="121">
                  <c:v>18-Jun</c:v>
                </c:pt>
                <c:pt idx="122">
                  <c:v>19-Jun</c:v>
                </c:pt>
                <c:pt idx="123">
                  <c:v>21-Jun</c:v>
                </c:pt>
                <c:pt idx="124">
                  <c:v>22-Jun</c:v>
                </c:pt>
                <c:pt idx="125">
                  <c:v>23-Jun</c:v>
                </c:pt>
                <c:pt idx="126">
                  <c:v>25-Jun</c:v>
                </c:pt>
                <c:pt idx="127">
                  <c:v>26-Jun</c:v>
                </c:pt>
                <c:pt idx="128">
                  <c:v>27-Jun</c:v>
                </c:pt>
                <c:pt idx="129">
                  <c:v>28-Jun</c:v>
                </c:pt>
                <c:pt idx="130">
                  <c:v>30-Jun</c:v>
                </c:pt>
                <c:pt idx="131">
                  <c:v>1-Jul</c:v>
                </c:pt>
                <c:pt idx="132">
                  <c:v>2-Jul</c:v>
                </c:pt>
                <c:pt idx="133">
                  <c:v>3-Jul</c:v>
                </c:pt>
                <c:pt idx="134">
                  <c:v>5-Jul</c:v>
                </c:pt>
                <c:pt idx="135">
                  <c:v>6-Jul</c:v>
                </c:pt>
                <c:pt idx="136">
                  <c:v>7-Jul</c:v>
                </c:pt>
                <c:pt idx="137">
                  <c:v>8-Jul</c:v>
                </c:pt>
                <c:pt idx="138">
                  <c:v>9-Jul</c:v>
                </c:pt>
                <c:pt idx="139">
                  <c:v>10-Jul</c:v>
                </c:pt>
                <c:pt idx="140">
                  <c:v>11-Jul</c:v>
                </c:pt>
                <c:pt idx="141">
                  <c:v>13-Jul</c:v>
                </c:pt>
                <c:pt idx="142">
                  <c:v>14-Jul</c:v>
                </c:pt>
                <c:pt idx="143">
                  <c:v>15-Jul</c:v>
                </c:pt>
                <c:pt idx="144">
                  <c:v>16-Jul</c:v>
                </c:pt>
                <c:pt idx="145">
                  <c:v>17-Jul</c:v>
                </c:pt>
                <c:pt idx="146">
                  <c:v>18-Jul</c:v>
                </c:pt>
                <c:pt idx="147">
                  <c:v>20-Jul</c:v>
                </c:pt>
                <c:pt idx="148">
                  <c:v>22-Jul</c:v>
                </c:pt>
                <c:pt idx="149">
                  <c:v>23-Jul</c:v>
                </c:pt>
                <c:pt idx="150">
                  <c:v>24-Jul</c:v>
                </c:pt>
                <c:pt idx="151">
                  <c:v>25-Jul</c:v>
                </c:pt>
                <c:pt idx="152">
                  <c:v>26-Jul</c:v>
                </c:pt>
                <c:pt idx="153">
                  <c:v>27-Jul</c:v>
                </c:pt>
                <c:pt idx="154">
                  <c:v>28-Jul</c:v>
                </c:pt>
                <c:pt idx="155">
                  <c:v>29-Jul</c:v>
                </c:pt>
                <c:pt idx="156">
                  <c:v>31-Jul</c:v>
                </c:pt>
                <c:pt idx="157">
                  <c:v>1-Aug</c:v>
                </c:pt>
                <c:pt idx="158">
                  <c:v>2-Aug</c:v>
                </c:pt>
                <c:pt idx="159">
                  <c:v>3-Aug</c:v>
                </c:pt>
                <c:pt idx="160">
                  <c:v>4-Aug</c:v>
                </c:pt>
                <c:pt idx="161">
                  <c:v>5-Aug</c:v>
                </c:pt>
                <c:pt idx="162">
                  <c:v>6-Aug</c:v>
                </c:pt>
                <c:pt idx="163">
                  <c:v>10-Aug</c:v>
                </c:pt>
                <c:pt idx="164">
                  <c:v>11-Aug</c:v>
                </c:pt>
                <c:pt idx="165">
                  <c:v>12-Aug</c:v>
                </c:pt>
                <c:pt idx="166">
                  <c:v>13-Aug</c:v>
                </c:pt>
                <c:pt idx="167">
                  <c:v>14-Aug</c:v>
                </c:pt>
                <c:pt idx="168">
                  <c:v>17-Aug</c:v>
                </c:pt>
                <c:pt idx="169">
                  <c:v>19-Aug</c:v>
                </c:pt>
                <c:pt idx="170">
                  <c:v>21-Aug</c:v>
                </c:pt>
                <c:pt idx="171">
                  <c:v>22-Aug</c:v>
                </c:pt>
                <c:pt idx="172">
                  <c:v>23-Aug</c:v>
                </c:pt>
                <c:pt idx="173">
                  <c:v>25-Aug</c:v>
                </c:pt>
                <c:pt idx="174">
                  <c:v>26-Aug</c:v>
                </c:pt>
                <c:pt idx="175">
                  <c:v>27-Aug</c:v>
                </c:pt>
                <c:pt idx="176">
                  <c:v>28-Aug</c:v>
                </c:pt>
                <c:pt idx="177">
                  <c:v>29-Aug</c:v>
                </c:pt>
                <c:pt idx="178">
                  <c:v>31-Aug</c:v>
                </c:pt>
              </c:strCache>
            </c:strRef>
          </c:cat>
          <c:val>
            <c:numRef>
              <c:f>Data_analysis!$B$43:$B$222</c:f>
              <c:numCache>
                <c:formatCode>General</c:formatCode>
                <c:ptCount val="179"/>
                <c:pt idx="0">
                  <c:v>244.41000000000003</c:v>
                </c:pt>
                <c:pt idx="1">
                  <c:v>247.43</c:v>
                </c:pt>
                <c:pt idx="2">
                  <c:v>54.15</c:v>
                </c:pt>
                <c:pt idx="3">
                  <c:v>756.15</c:v>
                </c:pt>
                <c:pt idx="4">
                  <c:v>392.8</c:v>
                </c:pt>
                <c:pt idx="5">
                  <c:v>328.78</c:v>
                </c:pt>
                <c:pt idx="6">
                  <c:v>210.77</c:v>
                </c:pt>
                <c:pt idx="7">
                  <c:v>674.27</c:v>
                </c:pt>
                <c:pt idx="8">
                  <c:v>289.57</c:v>
                </c:pt>
                <c:pt idx="9">
                  <c:v>211.91</c:v>
                </c:pt>
                <c:pt idx="10">
                  <c:v>27.98</c:v>
                </c:pt>
                <c:pt idx="11">
                  <c:v>147.72999999999999</c:v>
                </c:pt>
                <c:pt idx="12">
                  <c:v>225.25</c:v>
                </c:pt>
                <c:pt idx="13">
                  <c:v>656.04</c:v>
                </c:pt>
                <c:pt idx="14">
                  <c:v>180.5</c:v>
                </c:pt>
                <c:pt idx="15">
                  <c:v>68.209999999999994</c:v>
                </c:pt>
                <c:pt idx="16">
                  <c:v>89.29</c:v>
                </c:pt>
                <c:pt idx="17">
                  <c:v>141.91999999999999</c:v>
                </c:pt>
                <c:pt idx="18">
                  <c:v>192.17000000000002</c:v>
                </c:pt>
                <c:pt idx="19">
                  <c:v>65.17</c:v>
                </c:pt>
                <c:pt idx="20">
                  <c:v>176.73</c:v>
                </c:pt>
                <c:pt idx="21">
                  <c:v>155.16</c:v>
                </c:pt>
                <c:pt idx="22">
                  <c:v>202.9</c:v>
                </c:pt>
                <c:pt idx="23">
                  <c:v>88.26</c:v>
                </c:pt>
                <c:pt idx="24">
                  <c:v>602.98</c:v>
                </c:pt>
                <c:pt idx="25">
                  <c:v>951.04</c:v>
                </c:pt>
                <c:pt idx="26">
                  <c:v>67.430000000000007</c:v>
                </c:pt>
                <c:pt idx="27">
                  <c:v>924.76</c:v>
                </c:pt>
                <c:pt idx="28">
                  <c:v>734.92000000000007</c:v>
                </c:pt>
                <c:pt idx="29">
                  <c:v>931.31999999999994</c:v>
                </c:pt>
                <c:pt idx="30">
                  <c:v>290.45</c:v>
                </c:pt>
                <c:pt idx="31">
                  <c:v>446.41999999999996</c:v>
                </c:pt>
                <c:pt idx="32">
                  <c:v>336.15000000000003</c:v>
                </c:pt>
                <c:pt idx="33">
                  <c:v>129.05000000000001</c:v>
                </c:pt>
                <c:pt idx="34">
                  <c:v>136.5</c:v>
                </c:pt>
                <c:pt idx="35">
                  <c:v>48.25</c:v>
                </c:pt>
                <c:pt idx="36">
                  <c:v>276.45999999999998</c:v>
                </c:pt>
                <c:pt idx="37">
                  <c:v>608.76</c:v>
                </c:pt>
                <c:pt idx="38">
                  <c:v>127.61</c:v>
                </c:pt>
                <c:pt idx="39">
                  <c:v>273.35000000000002</c:v>
                </c:pt>
                <c:pt idx="40">
                  <c:v>89.41</c:v>
                </c:pt>
                <c:pt idx="41">
                  <c:v>185.48</c:v>
                </c:pt>
                <c:pt idx="42">
                  <c:v>1042.5999999999999</c:v>
                </c:pt>
                <c:pt idx="43">
                  <c:v>318.33</c:v>
                </c:pt>
                <c:pt idx="44">
                  <c:v>182.35</c:v>
                </c:pt>
                <c:pt idx="45">
                  <c:v>805.04</c:v>
                </c:pt>
                <c:pt idx="46">
                  <c:v>246.17</c:v>
                </c:pt>
                <c:pt idx="47">
                  <c:v>371.81000000000006</c:v>
                </c:pt>
                <c:pt idx="48">
                  <c:v>244.66</c:v>
                </c:pt>
                <c:pt idx="49">
                  <c:v>795.57999999999993</c:v>
                </c:pt>
                <c:pt idx="50">
                  <c:v>244.72</c:v>
                </c:pt>
                <c:pt idx="51">
                  <c:v>123.89</c:v>
                </c:pt>
                <c:pt idx="52">
                  <c:v>209.95</c:v>
                </c:pt>
                <c:pt idx="53">
                  <c:v>197.20999999999998</c:v>
                </c:pt>
                <c:pt idx="54">
                  <c:v>394.01</c:v>
                </c:pt>
                <c:pt idx="55">
                  <c:v>134.53</c:v>
                </c:pt>
                <c:pt idx="56">
                  <c:v>214</c:v>
                </c:pt>
                <c:pt idx="57">
                  <c:v>366.29999999999995</c:v>
                </c:pt>
                <c:pt idx="58">
                  <c:v>443.56</c:v>
                </c:pt>
                <c:pt idx="59">
                  <c:v>94.04</c:v>
                </c:pt>
                <c:pt idx="60">
                  <c:v>54.26</c:v>
                </c:pt>
                <c:pt idx="61">
                  <c:v>89.01</c:v>
                </c:pt>
                <c:pt idx="62">
                  <c:v>246.33999999999997</c:v>
                </c:pt>
                <c:pt idx="63">
                  <c:v>243.79</c:v>
                </c:pt>
                <c:pt idx="64">
                  <c:v>112.85</c:v>
                </c:pt>
                <c:pt idx="65">
                  <c:v>40.32</c:v>
                </c:pt>
                <c:pt idx="66">
                  <c:v>397.29</c:v>
                </c:pt>
                <c:pt idx="67">
                  <c:v>622.77</c:v>
                </c:pt>
                <c:pt idx="68">
                  <c:v>550.43000000000006</c:v>
                </c:pt>
                <c:pt idx="69">
                  <c:v>161.49</c:v>
                </c:pt>
                <c:pt idx="70">
                  <c:v>294.16000000000003</c:v>
                </c:pt>
                <c:pt idx="71">
                  <c:v>409.43</c:v>
                </c:pt>
                <c:pt idx="72">
                  <c:v>141.33000000000001</c:v>
                </c:pt>
                <c:pt idx="73">
                  <c:v>342.89000000000004</c:v>
                </c:pt>
                <c:pt idx="74">
                  <c:v>551.80000000000007</c:v>
                </c:pt>
                <c:pt idx="75">
                  <c:v>396.99</c:v>
                </c:pt>
                <c:pt idx="76">
                  <c:v>523.17999999999995</c:v>
                </c:pt>
                <c:pt idx="77">
                  <c:v>96.7</c:v>
                </c:pt>
                <c:pt idx="78">
                  <c:v>318.47000000000003</c:v>
                </c:pt>
                <c:pt idx="79">
                  <c:v>64.41</c:v>
                </c:pt>
                <c:pt idx="80">
                  <c:v>802.92000000000007</c:v>
                </c:pt>
                <c:pt idx="81">
                  <c:v>1069.3399999999999</c:v>
                </c:pt>
                <c:pt idx="82">
                  <c:v>295.77999999999997</c:v>
                </c:pt>
                <c:pt idx="83">
                  <c:v>146.6</c:v>
                </c:pt>
                <c:pt idx="84">
                  <c:v>260.35000000000002</c:v>
                </c:pt>
                <c:pt idx="85">
                  <c:v>367</c:v>
                </c:pt>
                <c:pt idx="86">
                  <c:v>142.63</c:v>
                </c:pt>
                <c:pt idx="87">
                  <c:v>345.67</c:v>
                </c:pt>
                <c:pt idx="88">
                  <c:v>178.45</c:v>
                </c:pt>
                <c:pt idx="89">
                  <c:v>259.84000000000003</c:v>
                </c:pt>
                <c:pt idx="90">
                  <c:v>192.59</c:v>
                </c:pt>
                <c:pt idx="91">
                  <c:v>134.85</c:v>
                </c:pt>
                <c:pt idx="92">
                  <c:v>648.25</c:v>
                </c:pt>
                <c:pt idx="93">
                  <c:v>471.36</c:v>
                </c:pt>
                <c:pt idx="94">
                  <c:v>136.59</c:v>
                </c:pt>
                <c:pt idx="95">
                  <c:v>339.14</c:v>
                </c:pt>
                <c:pt idx="96">
                  <c:v>445.21999999999997</c:v>
                </c:pt>
                <c:pt idx="97">
                  <c:v>79.459999999999994</c:v>
                </c:pt>
                <c:pt idx="98">
                  <c:v>426.02</c:v>
                </c:pt>
                <c:pt idx="99">
                  <c:v>429</c:v>
                </c:pt>
                <c:pt idx="100">
                  <c:v>838.6</c:v>
                </c:pt>
                <c:pt idx="101">
                  <c:v>468.9</c:v>
                </c:pt>
                <c:pt idx="102">
                  <c:v>197.08999999999997</c:v>
                </c:pt>
                <c:pt idx="103">
                  <c:v>155.31</c:v>
                </c:pt>
                <c:pt idx="104">
                  <c:v>151.09</c:v>
                </c:pt>
                <c:pt idx="105">
                  <c:v>708.93000000000006</c:v>
                </c:pt>
                <c:pt idx="106">
                  <c:v>629.54999999999995</c:v>
                </c:pt>
                <c:pt idx="107">
                  <c:v>123.12</c:v>
                </c:pt>
                <c:pt idx="108">
                  <c:v>755.99</c:v>
                </c:pt>
                <c:pt idx="109">
                  <c:v>149.85</c:v>
                </c:pt>
                <c:pt idx="110">
                  <c:v>973.19</c:v>
                </c:pt>
                <c:pt idx="111">
                  <c:v>41.09</c:v>
                </c:pt>
                <c:pt idx="112">
                  <c:v>400.49</c:v>
                </c:pt>
                <c:pt idx="113">
                  <c:v>372.53000000000003</c:v>
                </c:pt>
                <c:pt idx="114">
                  <c:v>381.45</c:v>
                </c:pt>
                <c:pt idx="115">
                  <c:v>307.75</c:v>
                </c:pt>
                <c:pt idx="116">
                  <c:v>272.97000000000003</c:v>
                </c:pt>
                <c:pt idx="117">
                  <c:v>245.23000000000002</c:v>
                </c:pt>
                <c:pt idx="118">
                  <c:v>127.82</c:v>
                </c:pt>
                <c:pt idx="119">
                  <c:v>581.74</c:v>
                </c:pt>
                <c:pt idx="120">
                  <c:v>287.52999999999997</c:v>
                </c:pt>
                <c:pt idx="121">
                  <c:v>238.86</c:v>
                </c:pt>
                <c:pt idx="122">
                  <c:v>633.45000000000005</c:v>
                </c:pt>
                <c:pt idx="123">
                  <c:v>44.7</c:v>
                </c:pt>
                <c:pt idx="124">
                  <c:v>134.24</c:v>
                </c:pt>
                <c:pt idx="125">
                  <c:v>240.46999999999997</c:v>
                </c:pt>
                <c:pt idx="126">
                  <c:v>402.03999999999996</c:v>
                </c:pt>
                <c:pt idx="127">
                  <c:v>649.26</c:v>
                </c:pt>
                <c:pt idx="128">
                  <c:v>176.45</c:v>
                </c:pt>
                <c:pt idx="129">
                  <c:v>88.38</c:v>
                </c:pt>
                <c:pt idx="130">
                  <c:v>270.07</c:v>
                </c:pt>
                <c:pt idx="131">
                  <c:v>195.23000000000002</c:v>
                </c:pt>
                <c:pt idx="132">
                  <c:v>718.9</c:v>
                </c:pt>
                <c:pt idx="133">
                  <c:v>257.7</c:v>
                </c:pt>
                <c:pt idx="134">
                  <c:v>217.38</c:v>
                </c:pt>
                <c:pt idx="135">
                  <c:v>367.4</c:v>
                </c:pt>
                <c:pt idx="136">
                  <c:v>77.03</c:v>
                </c:pt>
                <c:pt idx="137">
                  <c:v>153.08000000000001</c:v>
                </c:pt>
                <c:pt idx="138">
                  <c:v>764.75</c:v>
                </c:pt>
                <c:pt idx="139">
                  <c:v>102.72</c:v>
                </c:pt>
                <c:pt idx="140">
                  <c:v>326.24</c:v>
                </c:pt>
                <c:pt idx="141">
                  <c:v>431.39</c:v>
                </c:pt>
                <c:pt idx="142">
                  <c:v>704.88</c:v>
                </c:pt>
                <c:pt idx="143">
                  <c:v>845.03</c:v>
                </c:pt>
                <c:pt idx="144">
                  <c:v>295.71000000000004</c:v>
                </c:pt>
                <c:pt idx="145">
                  <c:v>327.24</c:v>
                </c:pt>
                <c:pt idx="146">
                  <c:v>97.26</c:v>
                </c:pt>
                <c:pt idx="147">
                  <c:v>101.75</c:v>
                </c:pt>
                <c:pt idx="148">
                  <c:v>479.93</c:v>
                </c:pt>
                <c:pt idx="149">
                  <c:v>122.71</c:v>
                </c:pt>
                <c:pt idx="150">
                  <c:v>683.88</c:v>
                </c:pt>
                <c:pt idx="151">
                  <c:v>312.06</c:v>
                </c:pt>
                <c:pt idx="152">
                  <c:v>17.670000000000002</c:v>
                </c:pt>
                <c:pt idx="153">
                  <c:v>367.01</c:v>
                </c:pt>
                <c:pt idx="154">
                  <c:v>22.99</c:v>
                </c:pt>
                <c:pt idx="155">
                  <c:v>380.27</c:v>
                </c:pt>
                <c:pt idx="156">
                  <c:v>384.23</c:v>
                </c:pt>
                <c:pt idx="157">
                  <c:v>215.35000000000002</c:v>
                </c:pt>
                <c:pt idx="158">
                  <c:v>301.01</c:v>
                </c:pt>
                <c:pt idx="159">
                  <c:v>88.2</c:v>
                </c:pt>
                <c:pt idx="160">
                  <c:v>383.90999999999997</c:v>
                </c:pt>
                <c:pt idx="161">
                  <c:v>279.99</c:v>
                </c:pt>
                <c:pt idx="162">
                  <c:v>585.74</c:v>
                </c:pt>
                <c:pt idx="163">
                  <c:v>406.29</c:v>
                </c:pt>
                <c:pt idx="164">
                  <c:v>276.8</c:v>
                </c:pt>
                <c:pt idx="165">
                  <c:v>78.790000000000006</c:v>
                </c:pt>
                <c:pt idx="166">
                  <c:v>97.52</c:v>
                </c:pt>
                <c:pt idx="167">
                  <c:v>48.19</c:v>
                </c:pt>
                <c:pt idx="168">
                  <c:v>622.88</c:v>
                </c:pt>
                <c:pt idx="169">
                  <c:v>163.5</c:v>
                </c:pt>
                <c:pt idx="170">
                  <c:v>436.52</c:v>
                </c:pt>
                <c:pt idx="171">
                  <c:v>146.37</c:v>
                </c:pt>
                <c:pt idx="172">
                  <c:v>335.13</c:v>
                </c:pt>
                <c:pt idx="173">
                  <c:v>625.55999999999995</c:v>
                </c:pt>
                <c:pt idx="174">
                  <c:v>745.96</c:v>
                </c:pt>
                <c:pt idx="175">
                  <c:v>112.49</c:v>
                </c:pt>
                <c:pt idx="176">
                  <c:v>472.1</c:v>
                </c:pt>
                <c:pt idx="177">
                  <c:v>188.06</c:v>
                </c:pt>
                <c:pt idx="178">
                  <c:v>270.74</c:v>
                </c:pt>
              </c:numCache>
            </c:numRef>
          </c:val>
          <c:smooth val="0"/>
          <c:extLst>
            <c:ext xmlns:c16="http://schemas.microsoft.com/office/drawing/2014/chart" uri="{C3380CC4-5D6E-409C-BE32-E72D297353CC}">
              <c16:uniqueId val="{00000000-1D4D-47F4-89A9-02CA80A063D9}"/>
            </c:ext>
          </c:extLst>
        </c:ser>
        <c:dLbls>
          <c:showLegendKey val="0"/>
          <c:showVal val="0"/>
          <c:showCatName val="0"/>
          <c:showSerName val="0"/>
          <c:showPercent val="0"/>
          <c:showBubbleSize val="0"/>
        </c:dLbls>
        <c:smooth val="0"/>
        <c:axId val="128717488"/>
        <c:axId val="128714160"/>
      </c:lineChart>
      <c:catAx>
        <c:axId val="128717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14160"/>
        <c:crosses val="autoZero"/>
        <c:auto val="1"/>
        <c:lblAlgn val="ctr"/>
        <c:lblOffset val="100"/>
        <c:noMultiLvlLbl val="0"/>
      </c:catAx>
      <c:valAx>
        <c:axId val="128714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174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[Pharmacity_Sales_Analysis_V1.xlsx]Data_analysis!PivotTable13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rgbClr val="71BD44"/>
                </a:solidFill>
                <a:latin typeface="Times New Roman" panose="02020603050405020304" pitchFamily="18" charset="0"/>
                <a:cs typeface="Times New Roman" panose="02020603050405020304" pitchFamily="18" charset="0"/>
              </a:rPr>
              <a:t>Phân</a:t>
            </a:r>
            <a:r>
              <a:rPr lang="en-US" sz="1400" b="1" baseline="0">
                <a:solidFill>
                  <a:srgbClr val="71BD44"/>
                </a:solidFill>
                <a:latin typeface="Times New Roman" panose="02020603050405020304" pitchFamily="18" charset="0"/>
                <a:cs typeface="Times New Roman" panose="02020603050405020304" pitchFamily="18" charset="0"/>
              </a:rPr>
              <a:t> Phối Về Giá Giao Dịch</a:t>
            </a:r>
            <a:endParaRPr lang="en-US" sz="1400" b="1">
              <a:solidFill>
                <a:srgbClr val="71BD44"/>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AA520"/>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Data_analysis!$H$3</c:f>
              <c:strCache>
                <c:ptCount val="1"/>
                <c:pt idx="0">
                  <c:v>Total</c:v>
                </c:pt>
              </c:strCache>
            </c:strRef>
          </c:tx>
          <c:spPr>
            <a:solidFill>
              <a:srgbClr val="DAA520"/>
            </a:solidFill>
            <a:ln>
              <a:solidFill>
                <a:schemeClr val="bg1"/>
              </a:solidFill>
            </a:ln>
            <a:effectLst/>
          </c:spPr>
          <c:invertIfNegative val="0"/>
          <c:cat>
            <c:strRef>
              <c:f>Data_analysis!$G$4:$G$28</c:f>
              <c:strCache>
                <c:ptCount val="24"/>
                <c:pt idx="0">
                  <c:v>8.09-28.09</c:v>
                </c:pt>
                <c:pt idx="1">
                  <c:v>28.09-48.09</c:v>
                </c:pt>
                <c:pt idx="2">
                  <c:v>48.09-68.09</c:v>
                </c:pt>
                <c:pt idx="3">
                  <c:v>68.09-88.09</c:v>
                </c:pt>
                <c:pt idx="4">
                  <c:v>88.09-108.09</c:v>
                </c:pt>
                <c:pt idx="5">
                  <c:v>108.09-128.09</c:v>
                </c:pt>
                <c:pt idx="6">
                  <c:v>128.09-148.09</c:v>
                </c:pt>
                <c:pt idx="7">
                  <c:v>148.09-168.09</c:v>
                </c:pt>
                <c:pt idx="8">
                  <c:v>168.09-188.09</c:v>
                </c:pt>
                <c:pt idx="9">
                  <c:v>188.09-208.09</c:v>
                </c:pt>
                <c:pt idx="10">
                  <c:v>208.09-228.09</c:v>
                </c:pt>
                <c:pt idx="11">
                  <c:v>228.09-248.09</c:v>
                </c:pt>
                <c:pt idx="12">
                  <c:v>248.09-268.09</c:v>
                </c:pt>
                <c:pt idx="13">
                  <c:v>268.09-288.09</c:v>
                </c:pt>
                <c:pt idx="14">
                  <c:v>288.09-308.09</c:v>
                </c:pt>
                <c:pt idx="15">
                  <c:v>308.09-328.09</c:v>
                </c:pt>
                <c:pt idx="16">
                  <c:v>328.09-348.09</c:v>
                </c:pt>
                <c:pt idx="17">
                  <c:v>348.09-368.09</c:v>
                </c:pt>
                <c:pt idx="18">
                  <c:v>368.09-388.09</c:v>
                </c:pt>
                <c:pt idx="19">
                  <c:v>388.09-408.09</c:v>
                </c:pt>
                <c:pt idx="20">
                  <c:v>408.09-428.09</c:v>
                </c:pt>
                <c:pt idx="21">
                  <c:v>428.09-448.09</c:v>
                </c:pt>
                <c:pt idx="22">
                  <c:v>468.09-488.09</c:v>
                </c:pt>
                <c:pt idx="23">
                  <c:v>488.09-508.09</c:v>
                </c:pt>
              </c:strCache>
            </c:strRef>
          </c:cat>
          <c:val>
            <c:numRef>
              <c:f>Data_analysis!$H$4:$H$28</c:f>
              <c:numCache>
                <c:formatCode>General</c:formatCode>
                <c:ptCount val="24"/>
                <c:pt idx="0">
                  <c:v>18</c:v>
                </c:pt>
                <c:pt idx="1">
                  <c:v>27</c:v>
                </c:pt>
                <c:pt idx="2">
                  <c:v>33</c:v>
                </c:pt>
                <c:pt idx="3">
                  <c:v>17</c:v>
                </c:pt>
                <c:pt idx="4">
                  <c:v>25</c:v>
                </c:pt>
                <c:pt idx="5">
                  <c:v>13</c:v>
                </c:pt>
                <c:pt idx="6">
                  <c:v>21</c:v>
                </c:pt>
                <c:pt idx="7">
                  <c:v>27</c:v>
                </c:pt>
                <c:pt idx="8">
                  <c:v>18</c:v>
                </c:pt>
                <c:pt idx="9">
                  <c:v>16</c:v>
                </c:pt>
                <c:pt idx="10">
                  <c:v>19</c:v>
                </c:pt>
                <c:pt idx="11">
                  <c:v>15</c:v>
                </c:pt>
                <c:pt idx="12">
                  <c:v>2</c:v>
                </c:pt>
                <c:pt idx="13">
                  <c:v>11</c:v>
                </c:pt>
                <c:pt idx="14">
                  <c:v>13</c:v>
                </c:pt>
                <c:pt idx="15">
                  <c:v>15</c:v>
                </c:pt>
                <c:pt idx="16">
                  <c:v>9</c:v>
                </c:pt>
                <c:pt idx="17">
                  <c:v>7</c:v>
                </c:pt>
                <c:pt idx="18">
                  <c:v>7</c:v>
                </c:pt>
                <c:pt idx="19">
                  <c:v>4</c:v>
                </c:pt>
                <c:pt idx="20">
                  <c:v>5</c:v>
                </c:pt>
                <c:pt idx="21">
                  <c:v>5</c:v>
                </c:pt>
                <c:pt idx="22">
                  <c:v>5</c:v>
                </c:pt>
                <c:pt idx="23">
                  <c:v>1</c:v>
                </c:pt>
              </c:numCache>
            </c:numRef>
          </c:val>
          <c:extLst>
            <c:ext xmlns:c16="http://schemas.microsoft.com/office/drawing/2014/chart" uri="{C3380CC4-5D6E-409C-BE32-E72D297353CC}">
              <c16:uniqueId val="{00000000-C75C-4D37-B302-FFB371D07AA1}"/>
            </c:ext>
          </c:extLst>
        </c:ser>
        <c:dLbls>
          <c:showLegendKey val="0"/>
          <c:showVal val="0"/>
          <c:showCatName val="0"/>
          <c:showSerName val="0"/>
          <c:showPercent val="0"/>
          <c:showBubbleSize val="0"/>
        </c:dLbls>
        <c:gapWidth val="0"/>
        <c:overlap val="-27"/>
        <c:axId val="209386928"/>
        <c:axId val="209382768"/>
      </c:barChart>
      <c:catAx>
        <c:axId val="209386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382768"/>
        <c:crosses val="autoZero"/>
        <c:auto val="1"/>
        <c:lblAlgn val="ctr"/>
        <c:lblOffset val="100"/>
        <c:noMultiLvlLbl val="0"/>
      </c:catAx>
      <c:valAx>
        <c:axId val="209382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386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[Pharmacity_Sales_Analysis_V1.xlsx]Data_analysis!PivotTable8</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rgbClr val="71BD44"/>
                </a:solidFill>
                <a:latin typeface="Times New Roman" panose="02020603050405020304" pitchFamily="18" charset="0"/>
                <a:cs typeface="Times New Roman" panose="02020603050405020304" pitchFamily="18" charset="0"/>
              </a:rPr>
              <a:t>Tổng</a:t>
            </a:r>
            <a:r>
              <a:rPr lang="en-US" sz="1400" b="1" baseline="0">
                <a:solidFill>
                  <a:srgbClr val="71BD44"/>
                </a:solidFill>
                <a:latin typeface="Times New Roman" panose="02020603050405020304" pitchFamily="18" charset="0"/>
                <a:cs typeface="Times New Roman" panose="02020603050405020304" pitchFamily="18" charset="0"/>
              </a:rPr>
              <a:t> Sản Lượng Bán Theo Product</a:t>
            </a:r>
            <a:endParaRPr lang="en-US" sz="1400" b="1">
              <a:solidFill>
                <a:srgbClr val="71BD44"/>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1BD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Data_analysis!$E$3</c:f>
              <c:strCache>
                <c:ptCount val="1"/>
                <c:pt idx="0">
                  <c:v>Total</c:v>
                </c:pt>
              </c:strCache>
            </c:strRef>
          </c:tx>
          <c:spPr>
            <a:solidFill>
              <a:srgbClr val="71BD4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Data_analysis!$D$4:$D$11</c:f>
              <c:strCache>
                <c:ptCount val="7"/>
                <c:pt idx="0">
                  <c:v>Digestive Enzyme</c:v>
                </c:pt>
                <c:pt idx="1">
                  <c:v>Antiseptic Cream</c:v>
                </c:pt>
                <c:pt idx="2">
                  <c:v>Allergy Pills</c:v>
                </c:pt>
                <c:pt idx="3">
                  <c:v>Nasal Spray</c:v>
                </c:pt>
                <c:pt idx="4">
                  <c:v>Cough Syrup</c:v>
                </c:pt>
                <c:pt idx="5">
                  <c:v>Eye Drops</c:v>
                </c:pt>
                <c:pt idx="6">
                  <c:v>Pain Relief Tablets</c:v>
                </c:pt>
              </c:strCache>
            </c:strRef>
          </c:cat>
          <c:val>
            <c:numRef>
              <c:f>Data_analysis!$E$4:$E$11</c:f>
              <c:numCache>
                <c:formatCode>General</c:formatCode>
                <c:ptCount val="7"/>
                <c:pt idx="0">
                  <c:v>612</c:v>
                </c:pt>
                <c:pt idx="1">
                  <c:v>573</c:v>
                </c:pt>
                <c:pt idx="2">
                  <c:v>518</c:v>
                </c:pt>
                <c:pt idx="3">
                  <c:v>489</c:v>
                </c:pt>
                <c:pt idx="4">
                  <c:v>484</c:v>
                </c:pt>
                <c:pt idx="5">
                  <c:v>458</c:v>
                </c:pt>
                <c:pt idx="6">
                  <c:v>354</c:v>
                </c:pt>
              </c:numCache>
            </c:numRef>
          </c:val>
          <c:extLst>
            <c:ext xmlns:c16="http://schemas.microsoft.com/office/drawing/2014/chart" uri="{C3380CC4-5D6E-409C-BE32-E72D297353CC}">
              <c16:uniqueId val="{00000000-E4BA-4235-9112-7A4E2E36C4A3}"/>
            </c:ext>
          </c:extLst>
        </c:ser>
        <c:dLbls>
          <c:dLblPos val="outEnd"/>
          <c:showLegendKey val="0"/>
          <c:showVal val="1"/>
          <c:showCatName val="0"/>
          <c:showSerName val="0"/>
          <c:showPercent val="0"/>
          <c:showBubbleSize val="0"/>
        </c:dLbls>
        <c:gapWidth val="219"/>
        <c:overlap val="-27"/>
        <c:axId val="128769632"/>
        <c:axId val="128773792"/>
      </c:barChart>
      <c:catAx>
        <c:axId val="128769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73792"/>
        <c:crosses val="autoZero"/>
        <c:auto val="1"/>
        <c:lblAlgn val="ctr"/>
        <c:lblOffset val="100"/>
        <c:noMultiLvlLbl val="0"/>
      </c:catAx>
      <c:valAx>
        <c:axId val="128773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696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[Pharmacity_Sales_Analysis_V1.xlsx]Data_analysis!PivotTable9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rgbClr val="71BD44"/>
                </a:solidFill>
                <a:latin typeface="Times New Roman" panose="02020603050405020304" pitchFamily="18" charset="0"/>
                <a:cs typeface="Times New Roman" panose="02020603050405020304" pitchFamily="18" charset="0"/>
              </a:rPr>
              <a:t>Tổng</a:t>
            </a:r>
            <a:r>
              <a:rPr lang="en-US" sz="1400" b="1" baseline="0">
                <a:solidFill>
                  <a:srgbClr val="71BD44"/>
                </a:solidFill>
                <a:latin typeface="Times New Roman" panose="02020603050405020304" pitchFamily="18" charset="0"/>
                <a:cs typeface="Times New Roman" panose="02020603050405020304" pitchFamily="18" charset="0"/>
              </a:rPr>
              <a:t> Sản Lượng Bán Theo Sales Person</a:t>
            </a:r>
            <a:endParaRPr lang="en-US" sz="1400" b="1">
              <a:solidFill>
                <a:srgbClr val="71BD44"/>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1BD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Data_analysis!$E$13</c:f>
              <c:strCache>
                <c:ptCount val="1"/>
                <c:pt idx="0">
                  <c:v>Total</c:v>
                </c:pt>
              </c:strCache>
            </c:strRef>
          </c:tx>
          <c:spPr>
            <a:solidFill>
              <a:srgbClr val="71BD4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Data_analysis!$D$14:$D$21</c:f>
              <c:strCache>
                <c:ptCount val="7"/>
                <c:pt idx="0">
                  <c:v>Rajesh Patel</c:v>
                </c:pt>
                <c:pt idx="1">
                  <c:v>Nikhil Batra</c:v>
                </c:pt>
                <c:pt idx="2">
                  <c:v>Priya Singh</c:v>
                </c:pt>
                <c:pt idx="3">
                  <c:v>Aman Verma</c:v>
                </c:pt>
                <c:pt idx="4">
                  <c:v>Divya Mehra</c:v>
                </c:pt>
                <c:pt idx="5">
                  <c:v>Ritika Shah</c:v>
                </c:pt>
                <c:pt idx="6">
                  <c:v>Sneha Iyer</c:v>
                </c:pt>
              </c:strCache>
            </c:strRef>
          </c:cat>
          <c:val>
            <c:numRef>
              <c:f>Data_analysis!$E$14:$E$21</c:f>
              <c:numCache>
                <c:formatCode>General</c:formatCode>
                <c:ptCount val="7"/>
                <c:pt idx="0">
                  <c:v>614</c:v>
                </c:pt>
                <c:pt idx="1">
                  <c:v>565</c:v>
                </c:pt>
                <c:pt idx="2">
                  <c:v>558</c:v>
                </c:pt>
                <c:pt idx="3">
                  <c:v>466</c:v>
                </c:pt>
                <c:pt idx="4">
                  <c:v>455</c:v>
                </c:pt>
                <c:pt idx="5">
                  <c:v>449</c:v>
                </c:pt>
                <c:pt idx="6">
                  <c:v>381</c:v>
                </c:pt>
              </c:numCache>
            </c:numRef>
          </c:val>
          <c:extLst>
            <c:ext xmlns:c16="http://schemas.microsoft.com/office/drawing/2014/chart" uri="{C3380CC4-5D6E-409C-BE32-E72D297353CC}">
              <c16:uniqueId val="{00000000-F731-4779-98C6-A766762053A8}"/>
            </c:ext>
          </c:extLst>
        </c:ser>
        <c:dLbls>
          <c:dLblPos val="outEnd"/>
          <c:showLegendKey val="0"/>
          <c:showVal val="1"/>
          <c:showCatName val="0"/>
          <c:showSerName val="0"/>
          <c:showPercent val="0"/>
          <c:showBubbleSize val="0"/>
        </c:dLbls>
        <c:gapWidth val="219"/>
        <c:overlap val="-27"/>
        <c:axId val="419633296"/>
        <c:axId val="419645360"/>
      </c:barChart>
      <c:catAx>
        <c:axId val="419633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9645360"/>
        <c:crosses val="autoZero"/>
        <c:auto val="1"/>
        <c:lblAlgn val="ctr"/>
        <c:lblOffset val="100"/>
        <c:noMultiLvlLbl val="0"/>
      </c:catAx>
      <c:valAx>
        <c:axId val="419645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96332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[Pharmacity_Sales_Analysis_V1.xlsx]Data_analysis!PivotTable10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rgbClr val="71BD44"/>
                </a:solidFill>
                <a:latin typeface="Times New Roman" panose="02020603050405020304" pitchFamily="18" charset="0"/>
                <a:cs typeface="Times New Roman" panose="02020603050405020304" pitchFamily="18" charset="0"/>
              </a:rPr>
              <a:t>Cơ</a:t>
            </a:r>
            <a:r>
              <a:rPr lang="en-US" sz="1400" b="1" baseline="0">
                <a:solidFill>
                  <a:srgbClr val="71BD44"/>
                </a:solidFill>
                <a:latin typeface="Times New Roman" panose="02020603050405020304" pitchFamily="18" charset="0"/>
                <a:cs typeface="Times New Roman" panose="02020603050405020304" pitchFamily="18" charset="0"/>
              </a:rPr>
              <a:t> Cấu Tổng Sản Lượng Bán Theo Country</a:t>
            </a:r>
            <a:endParaRPr lang="en-US" sz="1400" b="1">
              <a:solidFill>
                <a:srgbClr val="71BD44"/>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0070C0"/>
          </a:solidFill>
          <a:ln w="19050">
            <a:solidFill>
              <a:schemeClr val="lt1"/>
            </a:solidFill>
          </a:ln>
          <a:effectLst/>
        </c:spPr>
      </c:pivotFmt>
      <c:pivotFmt>
        <c:idx val="9"/>
        <c:spPr>
          <a:solidFill>
            <a:srgbClr val="6600CC"/>
          </a:solidFill>
          <a:ln w="19050">
            <a:solidFill>
              <a:schemeClr val="lt1"/>
            </a:solidFill>
          </a:ln>
          <a:effectLst/>
        </c:spPr>
      </c:pivotFmt>
      <c:pivotFmt>
        <c:idx val="10"/>
        <c:spPr>
          <a:solidFill>
            <a:srgbClr val="DAA520"/>
          </a:solidFill>
          <a:ln w="19050">
            <a:solidFill>
              <a:schemeClr val="lt1"/>
            </a:solidFill>
          </a:ln>
          <a:effectLst/>
        </c:spPr>
      </c:pivotFmt>
      <c:pivotFmt>
        <c:idx val="11"/>
        <c:spPr>
          <a:solidFill>
            <a:schemeClr val="accent2"/>
          </a:solidFill>
          <a:ln w="19050">
            <a:solidFill>
              <a:schemeClr val="lt1"/>
            </a:solidFill>
          </a:ln>
          <a:effectLst/>
        </c:spPr>
      </c:pivotFmt>
      <c:pivotFmt>
        <c:idx val="12"/>
        <c:spPr>
          <a:solidFill>
            <a:srgbClr val="71BD44"/>
          </a:solidFill>
          <a:ln w="19050">
            <a:solidFill>
              <a:schemeClr val="lt1"/>
            </a:solidFill>
          </a:ln>
          <a:effectLst/>
        </c:spPr>
      </c:pivotFmt>
    </c:pivotFmts>
    <c:plotArea>
      <c:layout/>
      <c:pieChart>
        <c:varyColors val="1"/>
        <c:ser>
          <c:idx val="0"/>
          <c:order val="0"/>
          <c:tx>
            <c:strRef>
              <c:f>Data_analysis!$E$23</c:f>
              <c:strCache>
                <c:ptCount val="1"/>
                <c:pt idx="0">
                  <c:v>Total</c:v>
                </c:pt>
              </c:strCache>
            </c:strRef>
          </c:tx>
          <c:dPt>
            <c:idx val="0"/>
            <c:bubble3D val="0"/>
            <c:spPr>
              <a:solidFill>
                <a:srgbClr val="0070C0"/>
              </a:solidFill>
              <a:ln w="19050">
                <a:solidFill>
                  <a:schemeClr val="lt1"/>
                </a:solidFill>
              </a:ln>
              <a:effectLst/>
            </c:spPr>
            <c:extLst>
              <c:ext xmlns:c16="http://schemas.microsoft.com/office/drawing/2014/chart" uri="{C3380CC4-5D6E-409C-BE32-E72D297353CC}">
                <c16:uniqueId val="{00000001-5519-4A9A-8B59-0F20069B226C}"/>
              </c:ext>
            </c:extLst>
          </c:dPt>
          <c:dPt>
            <c:idx val="1"/>
            <c:bubble3D val="0"/>
            <c:spPr>
              <a:solidFill>
                <a:srgbClr val="6600CC"/>
              </a:solidFill>
              <a:ln w="19050">
                <a:solidFill>
                  <a:schemeClr val="lt1"/>
                </a:solidFill>
              </a:ln>
              <a:effectLst/>
            </c:spPr>
            <c:extLst>
              <c:ext xmlns:c16="http://schemas.microsoft.com/office/drawing/2014/chart" uri="{C3380CC4-5D6E-409C-BE32-E72D297353CC}">
                <c16:uniqueId val="{00000003-5519-4A9A-8B59-0F20069B226C}"/>
              </c:ext>
            </c:extLst>
          </c:dPt>
          <c:dPt>
            <c:idx val="2"/>
            <c:bubble3D val="0"/>
            <c:spPr>
              <a:solidFill>
                <a:srgbClr val="DAA520"/>
              </a:solidFill>
              <a:ln w="19050">
                <a:solidFill>
                  <a:schemeClr val="lt1"/>
                </a:solidFill>
              </a:ln>
              <a:effectLst/>
            </c:spPr>
            <c:extLst>
              <c:ext xmlns:c16="http://schemas.microsoft.com/office/drawing/2014/chart" uri="{C3380CC4-5D6E-409C-BE32-E72D297353CC}">
                <c16:uniqueId val="{00000005-5519-4A9A-8B59-0F20069B226C}"/>
              </c:ext>
            </c:extLst>
          </c:dPt>
          <c:dPt>
            <c:idx val="3"/>
            <c:bubble3D val="0"/>
            <c:spPr>
              <a:solidFill>
                <a:schemeClr val="accent2"/>
              </a:solidFill>
              <a:ln w="19050">
                <a:solidFill>
                  <a:schemeClr val="lt1"/>
                </a:solidFill>
              </a:ln>
              <a:effectLst/>
            </c:spPr>
            <c:extLst>
              <c:ext xmlns:c16="http://schemas.microsoft.com/office/drawing/2014/chart" uri="{C3380CC4-5D6E-409C-BE32-E72D297353CC}">
                <c16:uniqueId val="{00000007-5519-4A9A-8B59-0F20069B226C}"/>
              </c:ext>
            </c:extLst>
          </c:dPt>
          <c:dPt>
            <c:idx val="4"/>
            <c:bubble3D val="0"/>
            <c:spPr>
              <a:solidFill>
                <a:srgbClr val="71BD44"/>
              </a:solidFill>
              <a:ln w="19050">
                <a:solidFill>
                  <a:schemeClr val="lt1"/>
                </a:solidFill>
              </a:ln>
              <a:effectLst/>
            </c:spPr>
            <c:extLst>
              <c:ext xmlns:c16="http://schemas.microsoft.com/office/drawing/2014/chart" uri="{C3380CC4-5D6E-409C-BE32-E72D297353CC}">
                <c16:uniqueId val="{00000009-5519-4A9A-8B59-0F20069B226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Data_analysis!$D$24:$D$29</c:f>
              <c:strCache>
                <c:ptCount val="5"/>
                <c:pt idx="0">
                  <c:v>Australia</c:v>
                </c:pt>
                <c:pt idx="1">
                  <c:v>Canada</c:v>
                </c:pt>
                <c:pt idx="2">
                  <c:v>India</c:v>
                </c:pt>
                <c:pt idx="3">
                  <c:v>UK</c:v>
                </c:pt>
                <c:pt idx="4">
                  <c:v>USA</c:v>
                </c:pt>
              </c:strCache>
            </c:strRef>
          </c:cat>
          <c:val>
            <c:numRef>
              <c:f>Data_analysis!$E$24:$E$29</c:f>
              <c:numCache>
                <c:formatCode>General</c:formatCode>
                <c:ptCount val="5"/>
                <c:pt idx="0">
                  <c:v>587</c:v>
                </c:pt>
                <c:pt idx="1">
                  <c:v>689</c:v>
                </c:pt>
                <c:pt idx="2">
                  <c:v>665</c:v>
                </c:pt>
                <c:pt idx="3">
                  <c:v>752</c:v>
                </c:pt>
                <c:pt idx="4">
                  <c:v>795</c:v>
                </c:pt>
              </c:numCache>
            </c:numRef>
          </c:val>
          <c:extLst>
            <c:ext xmlns:c16="http://schemas.microsoft.com/office/drawing/2014/chart" uri="{C3380CC4-5D6E-409C-BE32-E72D297353CC}">
              <c16:uniqueId val="{0000000A-5519-4A9A-8B59-0F20069B226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[Pharmacity_Sales_Analysis_V1.xlsx]Data_analysis!PivotTable11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rgbClr val="71BD44"/>
                </a:solidFill>
                <a:latin typeface="Times New Roman" panose="02020603050405020304" pitchFamily="18" charset="0"/>
                <a:cs typeface="Times New Roman" panose="02020603050405020304" pitchFamily="18" charset="0"/>
              </a:rPr>
              <a:t>Tổng</a:t>
            </a:r>
            <a:r>
              <a:rPr lang="en-US" sz="1400" b="1" baseline="0">
                <a:solidFill>
                  <a:srgbClr val="71BD44"/>
                </a:solidFill>
                <a:latin typeface="Times New Roman" panose="02020603050405020304" pitchFamily="18" charset="0"/>
                <a:cs typeface="Times New Roman" panose="02020603050405020304" pitchFamily="18" charset="0"/>
              </a:rPr>
              <a:t> Sản Lượng Bán Theo Months</a:t>
            </a:r>
            <a:endParaRPr lang="en-US" sz="1400" b="1">
              <a:solidFill>
                <a:srgbClr val="71BD44"/>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1BD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Data_analysis!$E$31</c:f>
              <c:strCache>
                <c:ptCount val="1"/>
                <c:pt idx="0">
                  <c:v>Total</c:v>
                </c:pt>
              </c:strCache>
            </c:strRef>
          </c:tx>
          <c:spPr>
            <a:solidFill>
              <a:srgbClr val="71BD4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Data_analysis!$D$32:$D$40</c:f>
              <c:strCache>
                <c:ptCount val="8"/>
                <c:pt idx="0">
                  <c:v>Jan</c:v>
                </c:pt>
                <c:pt idx="1">
                  <c:v>Feb</c:v>
                </c:pt>
                <c:pt idx="2">
                  <c:v>Mar</c:v>
                </c:pt>
                <c:pt idx="3">
                  <c:v>Apr</c:v>
                </c:pt>
                <c:pt idx="4">
                  <c:v>May</c:v>
                </c:pt>
                <c:pt idx="5">
                  <c:v>Jun</c:v>
                </c:pt>
                <c:pt idx="6">
                  <c:v>Jul</c:v>
                </c:pt>
                <c:pt idx="7">
                  <c:v>Aug</c:v>
                </c:pt>
              </c:strCache>
            </c:strRef>
          </c:cat>
          <c:val>
            <c:numRef>
              <c:f>Data_analysis!$E$32:$E$40</c:f>
              <c:numCache>
                <c:formatCode>General</c:formatCode>
                <c:ptCount val="8"/>
                <c:pt idx="0">
                  <c:v>350</c:v>
                </c:pt>
                <c:pt idx="1">
                  <c:v>418</c:v>
                </c:pt>
                <c:pt idx="2">
                  <c:v>425</c:v>
                </c:pt>
                <c:pt idx="3">
                  <c:v>403</c:v>
                </c:pt>
                <c:pt idx="4">
                  <c:v>524</c:v>
                </c:pt>
                <c:pt idx="5">
                  <c:v>452</c:v>
                </c:pt>
                <c:pt idx="6">
                  <c:v>520</c:v>
                </c:pt>
                <c:pt idx="7">
                  <c:v>396</c:v>
                </c:pt>
              </c:numCache>
            </c:numRef>
          </c:val>
          <c:extLst>
            <c:ext xmlns:c16="http://schemas.microsoft.com/office/drawing/2014/chart" uri="{C3380CC4-5D6E-409C-BE32-E72D297353CC}">
              <c16:uniqueId val="{00000000-1AC4-4A0B-B934-5B8DAB75D250}"/>
            </c:ext>
          </c:extLst>
        </c:ser>
        <c:dLbls>
          <c:dLblPos val="outEnd"/>
          <c:showLegendKey val="0"/>
          <c:showVal val="1"/>
          <c:showCatName val="0"/>
          <c:showSerName val="0"/>
          <c:showPercent val="0"/>
          <c:showBubbleSize val="0"/>
        </c:dLbls>
        <c:gapWidth val="219"/>
        <c:overlap val="-27"/>
        <c:axId val="25400527"/>
        <c:axId val="25400943"/>
      </c:barChart>
      <c:catAx>
        <c:axId val="25400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00943"/>
        <c:crosses val="autoZero"/>
        <c:auto val="1"/>
        <c:lblAlgn val="ctr"/>
        <c:lblOffset val="100"/>
        <c:noMultiLvlLbl val="0"/>
      </c:catAx>
      <c:valAx>
        <c:axId val="25400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005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[Pharmacity_Sales_Analysis_V1.xlsx]Data_analysis!PivotTable12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rgbClr val="71BD44"/>
                </a:solidFill>
                <a:latin typeface="Times New Roman" panose="02020603050405020304" pitchFamily="18" charset="0"/>
                <a:cs typeface="Times New Roman" panose="02020603050405020304" pitchFamily="18" charset="0"/>
              </a:rPr>
              <a:t>Tổng</a:t>
            </a:r>
            <a:r>
              <a:rPr lang="en-US" sz="1400" b="1" baseline="0">
                <a:solidFill>
                  <a:srgbClr val="71BD44"/>
                </a:solidFill>
                <a:latin typeface="Times New Roman" panose="02020603050405020304" pitchFamily="18" charset="0"/>
                <a:cs typeface="Times New Roman" panose="02020603050405020304" pitchFamily="18" charset="0"/>
              </a:rPr>
              <a:t> Sản Lượng Bán Theo Date</a:t>
            </a:r>
            <a:endParaRPr lang="en-US" sz="1400" b="1">
              <a:solidFill>
                <a:srgbClr val="71BD44"/>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DAA52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Data_analysis!$E$42</c:f>
              <c:strCache>
                <c:ptCount val="1"/>
                <c:pt idx="0">
                  <c:v>Total</c:v>
                </c:pt>
              </c:strCache>
            </c:strRef>
          </c:tx>
          <c:spPr>
            <a:ln w="28575" cap="rnd">
              <a:solidFill>
                <a:srgbClr val="DAA520"/>
              </a:solidFill>
              <a:round/>
            </a:ln>
            <a:effectLst/>
          </c:spPr>
          <c:marker>
            <c:symbol val="none"/>
          </c:marker>
          <c:cat>
            <c:strRef>
              <c:f>Data_analysis!$D$43:$D$222</c:f>
              <c:strCache>
                <c:ptCount val="179"/>
                <c:pt idx="0">
                  <c:v>2-Jan</c:v>
                </c:pt>
                <c:pt idx="1">
                  <c:v>5-Jan</c:v>
                </c:pt>
                <c:pt idx="2">
                  <c:v>6-Jan</c:v>
                </c:pt>
                <c:pt idx="3">
                  <c:v>7-Jan</c:v>
                </c:pt>
                <c:pt idx="4">
                  <c:v>8-Jan</c:v>
                </c:pt>
                <c:pt idx="5">
                  <c:v>10-Jan</c:v>
                </c:pt>
                <c:pt idx="6">
                  <c:v>11-Jan</c:v>
                </c:pt>
                <c:pt idx="7">
                  <c:v>13-Jan</c:v>
                </c:pt>
                <c:pt idx="8">
                  <c:v>14-Jan</c:v>
                </c:pt>
                <c:pt idx="9">
                  <c:v>15-Jan</c:v>
                </c:pt>
                <c:pt idx="10">
                  <c:v>16-Jan</c:v>
                </c:pt>
                <c:pt idx="11">
                  <c:v>17-Jan</c:v>
                </c:pt>
                <c:pt idx="12">
                  <c:v>18-Jan</c:v>
                </c:pt>
                <c:pt idx="13">
                  <c:v>19-Jan</c:v>
                </c:pt>
                <c:pt idx="14">
                  <c:v>21-Jan</c:v>
                </c:pt>
                <c:pt idx="15">
                  <c:v>22-Jan</c:v>
                </c:pt>
                <c:pt idx="16">
                  <c:v>24-Jan</c:v>
                </c:pt>
                <c:pt idx="17">
                  <c:v>26-Jan</c:v>
                </c:pt>
                <c:pt idx="18">
                  <c:v>27-Jan</c:v>
                </c:pt>
                <c:pt idx="19">
                  <c:v>28-Jan</c:v>
                </c:pt>
                <c:pt idx="20">
                  <c:v>29-Jan</c:v>
                </c:pt>
                <c:pt idx="21">
                  <c:v>31-Jan</c:v>
                </c:pt>
                <c:pt idx="22">
                  <c:v>1-Feb</c:v>
                </c:pt>
                <c:pt idx="23">
                  <c:v>2-Feb</c:v>
                </c:pt>
                <c:pt idx="24">
                  <c:v>3-Feb</c:v>
                </c:pt>
                <c:pt idx="25">
                  <c:v>5-Feb</c:v>
                </c:pt>
                <c:pt idx="26">
                  <c:v>6-Feb</c:v>
                </c:pt>
                <c:pt idx="27">
                  <c:v>8-Feb</c:v>
                </c:pt>
                <c:pt idx="28">
                  <c:v>9-Feb</c:v>
                </c:pt>
                <c:pt idx="29">
                  <c:v>11-Feb</c:v>
                </c:pt>
                <c:pt idx="30">
                  <c:v>12-Feb</c:v>
                </c:pt>
                <c:pt idx="31">
                  <c:v>13-Feb</c:v>
                </c:pt>
                <c:pt idx="32">
                  <c:v>14-Feb</c:v>
                </c:pt>
                <c:pt idx="33">
                  <c:v>16-Feb</c:v>
                </c:pt>
                <c:pt idx="34">
                  <c:v>18-Feb</c:v>
                </c:pt>
                <c:pt idx="35">
                  <c:v>19-Feb</c:v>
                </c:pt>
                <c:pt idx="36">
                  <c:v>20-Feb</c:v>
                </c:pt>
                <c:pt idx="37">
                  <c:v>21-Feb</c:v>
                </c:pt>
                <c:pt idx="38">
                  <c:v>23-Feb</c:v>
                </c:pt>
                <c:pt idx="39">
                  <c:v>25-Feb</c:v>
                </c:pt>
                <c:pt idx="40">
                  <c:v>27-Feb</c:v>
                </c:pt>
                <c:pt idx="41">
                  <c:v>28-Feb</c:v>
                </c:pt>
                <c:pt idx="42">
                  <c:v>2-Mar</c:v>
                </c:pt>
                <c:pt idx="43">
                  <c:v>3-Mar</c:v>
                </c:pt>
                <c:pt idx="44">
                  <c:v>4-Mar</c:v>
                </c:pt>
                <c:pt idx="45">
                  <c:v>7-Mar</c:v>
                </c:pt>
                <c:pt idx="46">
                  <c:v>9-Mar</c:v>
                </c:pt>
                <c:pt idx="47">
                  <c:v>10-Mar</c:v>
                </c:pt>
                <c:pt idx="48">
                  <c:v>11-Mar</c:v>
                </c:pt>
                <c:pt idx="49">
                  <c:v>13-Mar</c:v>
                </c:pt>
                <c:pt idx="50">
                  <c:v>14-Mar</c:v>
                </c:pt>
                <c:pt idx="51">
                  <c:v>16-Mar</c:v>
                </c:pt>
                <c:pt idx="52">
                  <c:v>17-Mar</c:v>
                </c:pt>
                <c:pt idx="53">
                  <c:v>18-Mar</c:v>
                </c:pt>
                <c:pt idx="54">
                  <c:v>20-Mar</c:v>
                </c:pt>
                <c:pt idx="55">
                  <c:v>21-Mar</c:v>
                </c:pt>
                <c:pt idx="56">
                  <c:v>22-Mar</c:v>
                </c:pt>
                <c:pt idx="57">
                  <c:v>23-Mar</c:v>
                </c:pt>
                <c:pt idx="58">
                  <c:v>24-Mar</c:v>
                </c:pt>
                <c:pt idx="59">
                  <c:v>25-Mar</c:v>
                </c:pt>
                <c:pt idx="60">
                  <c:v>26-Mar</c:v>
                </c:pt>
                <c:pt idx="61">
                  <c:v>27-Mar</c:v>
                </c:pt>
                <c:pt idx="62">
                  <c:v>28-Mar</c:v>
                </c:pt>
                <c:pt idx="63">
                  <c:v>29-Mar</c:v>
                </c:pt>
                <c:pt idx="64">
                  <c:v>1-Apr</c:v>
                </c:pt>
                <c:pt idx="65">
                  <c:v>3-Apr</c:v>
                </c:pt>
                <c:pt idx="66">
                  <c:v>5-Apr</c:v>
                </c:pt>
                <c:pt idx="67">
                  <c:v>8-Apr</c:v>
                </c:pt>
                <c:pt idx="68">
                  <c:v>11-Apr</c:v>
                </c:pt>
                <c:pt idx="69">
                  <c:v>12-Apr</c:v>
                </c:pt>
                <c:pt idx="70">
                  <c:v>13-Apr</c:v>
                </c:pt>
                <c:pt idx="71">
                  <c:v>14-Apr</c:v>
                </c:pt>
                <c:pt idx="72">
                  <c:v>16-Apr</c:v>
                </c:pt>
                <c:pt idx="73">
                  <c:v>17-Apr</c:v>
                </c:pt>
                <c:pt idx="74">
                  <c:v>19-Apr</c:v>
                </c:pt>
                <c:pt idx="75">
                  <c:v>20-Apr</c:v>
                </c:pt>
                <c:pt idx="76">
                  <c:v>22-Apr</c:v>
                </c:pt>
                <c:pt idx="77">
                  <c:v>23-Apr</c:v>
                </c:pt>
                <c:pt idx="78">
                  <c:v>24-Apr</c:v>
                </c:pt>
                <c:pt idx="79">
                  <c:v>25-Apr</c:v>
                </c:pt>
                <c:pt idx="80">
                  <c:v>26-Apr</c:v>
                </c:pt>
                <c:pt idx="81">
                  <c:v>27-Apr</c:v>
                </c:pt>
                <c:pt idx="82">
                  <c:v>29-Apr</c:v>
                </c:pt>
                <c:pt idx="83">
                  <c:v>30-Apr</c:v>
                </c:pt>
                <c:pt idx="84">
                  <c:v>2-May</c:v>
                </c:pt>
                <c:pt idx="85">
                  <c:v>3-May</c:v>
                </c:pt>
                <c:pt idx="86">
                  <c:v>4-May</c:v>
                </c:pt>
                <c:pt idx="87">
                  <c:v>5-May</c:v>
                </c:pt>
                <c:pt idx="88">
                  <c:v>6-May</c:v>
                </c:pt>
                <c:pt idx="89">
                  <c:v>9-May</c:v>
                </c:pt>
                <c:pt idx="90">
                  <c:v>12-May</c:v>
                </c:pt>
                <c:pt idx="91">
                  <c:v>13-May</c:v>
                </c:pt>
                <c:pt idx="92">
                  <c:v>14-May</c:v>
                </c:pt>
                <c:pt idx="93">
                  <c:v>15-May</c:v>
                </c:pt>
                <c:pt idx="94">
                  <c:v>16-May</c:v>
                </c:pt>
                <c:pt idx="95">
                  <c:v>17-May</c:v>
                </c:pt>
                <c:pt idx="96">
                  <c:v>18-May</c:v>
                </c:pt>
                <c:pt idx="97">
                  <c:v>19-May</c:v>
                </c:pt>
                <c:pt idx="98">
                  <c:v>20-May</c:v>
                </c:pt>
                <c:pt idx="99">
                  <c:v>21-May</c:v>
                </c:pt>
                <c:pt idx="100">
                  <c:v>23-May</c:v>
                </c:pt>
                <c:pt idx="101">
                  <c:v>24-May</c:v>
                </c:pt>
                <c:pt idx="102">
                  <c:v>25-May</c:v>
                </c:pt>
                <c:pt idx="103">
                  <c:v>26-May</c:v>
                </c:pt>
                <c:pt idx="104">
                  <c:v>27-May</c:v>
                </c:pt>
                <c:pt idx="105">
                  <c:v>28-May</c:v>
                </c:pt>
                <c:pt idx="106">
                  <c:v>29-May</c:v>
                </c:pt>
                <c:pt idx="107">
                  <c:v>30-May</c:v>
                </c:pt>
                <c:pt idx="108">
                  <c:v>31-May</c:v>
                </c:pt>
                <c:pt idx="109">
                  <c:v>2-Jun</c:v>
                </c:pt>
                <c:pt idx="110">
                  <c:v>3-Jun</c:v>
                </c:pt>
                <c:pt idx="111">
                  <c:v>4-Jun</c:v>
                </c:pt>
                <c:pt idx="112">
                  <c:v>5-Jun</c:v>
                </c:pt>
                <c:pt idx="113">
                  <c:v>6-Jun</c:v>
                </c:pt>
                <c:pt idx="114">
                  <c:v>7-Jun</c:v>
                </c:pt>
                <c:pt idx="115">
                  <c:v>9-Jun</c:v>
                </c:pt>
                <c:pt idx="116">
                  <c:v>10-Jun</c:v>
                </c:pt>
                <c:pt idx="117">
                  <c:v>11-Jun</c:v>
                </c:pt>
                <c:pt idx="118">
                  <c:v>15-Jun</c:v>
                </c:pt>
                <c:pt idx="119">
                  <c:v>16-Jun</c:v>
                </c:pt>
                <c:pt idx="120">
                  <c:v>17-Jun</c:v>
                </c:pt>
                <c:pt idx="121">
                  <c:v>18-Jun</c:v>
                </c:pt>
                <c:pt idx="122">
                  <c:v>19-Jun</c:v>
                </c:pt>
                <c:pt idx="123">
                  <c:v>21-Jun</c:v>
                </c:pt>
                <c:pt idx="124">
                  <c:v>22-Jun</c:v>
                </c:pt>
                <c:pt idx="125">
                  <c:v>23-Jun</c:v>
                </c:pt>
                <c:pt idx="126">
                  <c:v>25-Jun</c:v>
                </c:pt>
                <c:pt idx="127">
                  <c:v>26-Jun</c:v>
                </c:pt>
                <c:pt idx="128">
                  <c:v>27-Jun</c:v>
                </c:pt>
                <c:pt idx="129">
                  <c:v>28-Jun</c:v>
                </c:pt>
                <c:pt idx="130">
                  <c:v>30-Jun</c:v>
                </c:pt>
                <c:pt idx="131">
                  <c:v>1-Jul</c:v>
                </c:pt>
                <c:pt idx="132">
                  <c:v>2-Jul</c:v>
                </c:pt>
                <c:pt idx="133">
                  <c:v>3-Jul</c:v>
                </c:pt>
                <c:pt idx="134">
                  <c:v>5-Jul</c:v>
                </c:pt>
                <c:pt idx="135">
                  <c:v>6-Jul</c:v>
                </c:pt>
                <c:pt idx="136">
                  <c:v>7-Jul</c:v>
                </c:pt>
                <c:pt idx="137">
                  <c:v>8-Jul</c:v>
                </c:pt>
                <c:pt idx="138">
                  <c:v>9-Jul</c:v>
                </c:pt>
                <c:pt idx="139">
                  <c:v>10-Jul</c:v>
                </c:pt>
                <c:pt idx="140">
                  <c:v>11-Jul</c:v>
                </c:pt>
                <c:pt idx="141">
                  <c:v>13-Jul</c:v>
                </c:pt>
                <c:pt idx="142">
                  <c:v>14-Jul</c:v>
                </c:pt>
                <c:pt idx="143">
                  <c:v>15-Jul</c:v>
                </c:pt>
                <c:pt idx="144">
                  <c:v>16-Jul</c:v>
                </c:pt>
                <c:pt idx="145">
                  <c:v>17-Jul</c:v>
                </c:pt>
                <c:pt idx="146">
                  <c:v>18-Jul</c:v>
                </c:pt>
                <c:pt idx="147">
                  <c:v>20-Jul</c:v>
                </c:pt>
                <c:pt idx="148">
                  <c:v>22-Jul</c:v>
                </c:pt>
                <c:pt idx="149">
                  <c:v>23-Jul</c:v>
                </c:pt>
                <c:pt idx="150">
                  <c:v>24-Jul</c:v>
                </c:pt>
                <c:pt idx="151">
                  <c:v>25-Jul</c:v>
                </c:pt>
                <c:pt idx="152">
                  <c:v>26-Jul</c:v>
                </c:pt>
                <c:pt idx="153">
                  <c:v>27-Jul</c:v>
                </c:pt>
                <c:pt idx="154">
                  <c:v>28-Jul</c:v>
                </c:pt>
                <c:pt idx="155">
                  <c:v>29-Jul</c:v>
                </c:pt>
                <c:pt idx="156">
                  <c:v>31-Jul</c:v>
                </c:pt>
                <c:pt idx="157">
                  <c:v>1-Aug</c:v>
                </c:pt>
                <c:pt idx="158">
                  <c:v>2-Aug</c:v>
                </c:pt>
                <c:pt idx="159">
                  <c:v>3-Aug</c:v>
                </c:pt>
                <c:pt idx="160">
                  <c:v>4-Aug</c:v>
                </c:pt>
                <c:pt idx="161">
                  <c:v>5-Aug</c:v>
                </c:pt>
                <c:pt idx="162">
                  <c:v>6-Aug</c:v>
                </c:pt>
                <c:pt idx="163">
                  <c:v>10-Aug</c:v>
                </c:pt>
                <c:pt idx="164">
                  <c:v>11-Aug</c:v>
                </c:pt>
                <c:pt idx="165">
                  <c:v>12-Aug</c:v>
                </c:pt>
                <c:pt idx="166">
                  <c:v>13-Aug</c:v>
                </c:pt>
                <c:pt idx="167">
                  <c:v>14-Aug</c:v>
                </c:pt>
                <c:pt idx="168">
                  <c:v>17-Aug</c:v>
                </c:pt>
                <c:pt idx="169">
                  <c:v>19-Aug</c:v>
                </c:pt>
                <c:pt idx="170">
                  <c:v>21-Aug</c:v>
                </c:pt>
                <c:pt idx="171">
                  <c:v>22-Aug</c:v>
                </c:pt>
                <c:pt idx="172">
                  <c:v>23-Aug</c:v>
                </c:pt>
                <c:pt idx="173">
                  <c:v>25-Aug</c:v>
                </c:pt>
                <c:pt idx="174">
                  <c:v>26-Aug</c:v>
                </c:pt>
                <c:pt idx="175">
                  <c:v>27-Aug</c:v>
                </c:pt>
                <c:pt idx="176">
                  <c:v>28-Aug</c:v>
                </c:pt>
                <c:pt idx="177">
                  <c:v>29-Aug</c:v>
                </c:pt>
                <c:pt idx="178">
                  <c:v>31-Aug</c:v>
                </c:pt>
              </c:strCache>
            </c:strRef>
          </c:cat>
          <c:val>
            <c:numRef>
              <c:f>Data_analysis!$E$43:$E$222</c:f>
              <c:numCache>
                <c:formatCode>General</c:formatCode>
                <c:ptCount val="179"/>
                <c:pt idx="0">
                  <c:v>17</c:v>
                </c:pt>
                <c:pt idx="1">
                  <c:v>17</c:v>
                </c:pt>
                <c:pt idx="2">
                  <c:v>3</c:v>
                </c:pt>
                <c:pt idx="3">
                  <c:v>51</c:v>
                </c:pt>
                <c:pt idx="4">
                  <c:v>16</c:v>
                </c:pt>
                <c:pt idx="5">
                  <c:v>38</c:v>
                </c:pt>
                <c:pt idx="6">
                  <c:v>19</c:v>
                </c:pt>
                <c:pt idx="7">
                  <c:v>32</c:v>
                </c:pt>
                <c:pt idx="8">
                  <c:v>13</c:v>
                </c:pt>
                <c:pt idx="9">
                  <c:v>11</c:v>
                </c:pt>
                <c:pt idx="10">
                  <c:v>3</c:v>
                </c:pt>
                <c:pt idx="11">
                  <c:v>8</c:v>
                </c:pt>
                <c:pt idx="12">
                  <c:v>14</c:v>
                </c:pt>
                <c:pt idx="13">
                  <c:v>29</c:v>
                </c:pt>
                <c:pt idx="14">
                  <c:v>9</c:v>
                </c:pt>
                <c:pt idx="15">
                  <c:v>6</c:v>
                </c:pt>
                <c:pt idx="16">
                  <c:v>7</c:v>
                </c:pt>
                <c:pt idx="17">
                  <c:v>14</c:v>
                </c:pt>
                <c:pt idx="18">
                  <c:v>14</c:v>
                </c:pt>
                <c:pt idx="19">
                  <c:v>7</c:v>
                </c:pt>
                <c:pt idx="20">
                  <c:v>11</c:v>
                </c:pt>
                <c:pt idx="21">
                  <c:v>11</c:v>
                </c:pt>
                <c:pt idx="22">
                  <c:v>19</c:v>
                </c:pt>
                <c:pt idx="23">
                  <c:v>4</c:v>
                </c:pt>
                <c:pt idx="24">
                  <c:v>33</c:v>
                </c:pt>
                <c:pt idx="25">
                  <c:v>53</c:v>
                </c:pt>
                <c:pt idx="26">
                  <c:v>7</c:v>
                </c:pt>
                <c:pt idx="27">
                  <c:v>54</c:v>
                </c:pt>
                <c:pt idx="28">
                  <c:v>33</c:v>
                </c:pt>
                <c:pt idx="29">
                  <c:v>52</c:v>
                </c:pt>
                <c:pt idx="30">
                  <c:v>14</c:v>
                </c:pt>
                <c:pt idx="31">
                  <c:v>22</c:v>
                </c:pt>
                <c:pt idx="32">
                  <c:v>16</c:v>
                </c:pt>
                <c:pt idx="33">
                  <c:v>6</c:v>
                </c:pt>
                <c:pt idx="34">
                  <c:v>8</c:v>
                </c:pt>
                <c:pt idx="35">
                  <c:v>2</c:v>
                </c:pt>
                <c:pt idx="36">
                  <c:v>26</c:v>
                </c:pt>
                <c:pt idx="37">
                  <c:v>29</c:v>
                </c:pt>
                <c:pt idx="38">
                  <c:v>6</c:v>
                </c:pt>
                <c:pt idx="39">
                  <c:v>17</c:v>
                </c:pt>
                <c:pt idx="40">
                  <c:v>6</c:v>
                </c:pt>
                <c:pt idx="41">
                  <c:v>11</c:v>
                </c:pt>
                <c:pt idx="42">
                  <c:v>65</c:v>
                </c:pt>
                <c:pt idx="43">
                  <c:v>13</c:v>
                </c:pt>
                <c:pt idx="44">
                  <c:v>9</c:v>
                </c:pt>
                <c:pt idx="45">
                  <c:v>38</c:v>
                </c:pt>
                <c:pt idx="46">
                  <c:v>11</c:v>
                </c:pt>
                <c:pt idx="47">
                  <c:v>23</c:v>
                </c:pt>
                <c:pt idx="48">
                  <c:v>15</c:v>
                </c:pt>
                <c:pt idx="49">
                  <c:v>53</c:v>
                </c:pt>
                <c:pt idx="50">
                  <c:v>20</c:v>
                </c:pt>
                <c:pt idx="51">
                  <c:v>12</c:v>
                </c:pt>
                <c:pt idx="52">
                  <c:v>19</c:v>
                </c:pt>
                <c:pt idx="53">
                  <c:v>17</c:v>
                </c:pt>
                <c:pt idx="54">
                  <c:v>17</c:v>
                </c:pt>
                <c:pt idx="55">
                  <c:v>7</c:v>
                </c:pt>
                <c:pt idx="56">
                  <c:v>11</c:v>
                </c:pt>
                <c:pt idx="57">
                  <c:v>21</c:v>
                </c:pt>
                <c:pt idx="58">
                  <c:v>19</c:v>
                </c:pt>
                <c:pt idx="59">
                  <c:v>5</c:v>
                </c:pt>
                <c:pt idx="60">
                  <c:v>3</c:v>
                </c:pt>
                <c:pt idx="61">
                  <c:v>9</c:v>
                </c:pt>
                <c:pt idx="62">
                  <c:v>25</c:v>
                </c:pt>
                <c:pt idx="63">
                  <c:v>13</c:v>
                </c:pt>
                <c:pt idx="64">
                  <c:v>9</c:v>
                </c:pt>
                <c:pt idx="65">
                  <c:v>3</c:v>
                </c:pt>
                <c:pt idx="66">
                  <c:v>20</c:v>
                </c:pt>
                <c:pt idx="67">
                  <c:v>26</c:v>
                </c:pt>
                <c:pt idx="68">
                  <c:v>29</c:v>
                </c:pt>
                <c:pt idx="69">
                  <c:v>18</c:v>
                </c:pt>
                <c:pt idx="70">
                  <c:v>14</c:v>
                </c:pt>
                <c:pt idx="71">
                  <c:v>29</c:v>
                </c:pt>
                <c:pt idx="72">
                  <c:v>7</c:v>
                </c:pt>
                <c:pt idx="73">
                  <c:v>17</c:v>
                </c:pt>
                <c:pt idx="74">
                  <c:v>23</c:v>
                </c:pt>
                <c:pt idx="75">
                  <c:v>25</c:v>
                </c:pt>
                <c:pt idx="76">
                  <c:v>23</c:v>
                </c:pt>
                <c:pt idx="77">
                  <c:v>4</c:v>
                </c:pt>
                <c:pt idx="78">
                  <c:v>24</c:v>
                </c:pt>
                <c:pt idx="79">
                  <c:v>5</c:v>
                </c:pt>
                <c:pt idx="80">
                  <c:v>36</c:v>
                </c:pt>
                <c:pt idx="81">
                  <c:v>63</c:v>
                </c:pt>
                <c:pt idx="82">
                  <c:v>12</c:v>
                </c:pt>
                <c:pt idx="83">
                  <c:v>16</c:v>
                </c:pt>
                <c:pt idx="84">
                  <c:v>18</c:v>
                </c:pt>
                <c:pt idx="85">
                  <c:v>20</c:v>
                </c:pt>
                <c:pt idx="86">
                  <c:v>10</c:v>
                </c:pt>
                <c:pt idx="87">
                  <c:v>15</c:v>
                </c:pt>
                <c:pt idx="88">
                  <c:v>16</c:v>
                </c:pt>
                <c:pt idx="89">
                  <c:v>18</c:v>
                </c:pt>
                <c:pt idx="90">
                  <c:v>19</c:v>
                </c:pt>
                <c:pt idx="91">
                  <c:v>7</c:v>
                </c:pt>
                <c:pt idx="92">
                  <c:v>34</c:v>
                </c:pt>
                <c:pt idx="93">
                  <c:v>26</c:v>
                </c:pt>
                <c:pt idx="94">
                  <c:v>6</c:v>
                </c:pt>
                <c:pt idx="95">
                  <c:v>25</c:v>
                </c:pt>
                <c:pt idx="96">
                  <c:v>36</c:v>
                </c:pt>
                <c:pt idx="97">
                  <c:v>5</c:v>
                </c:pt>
                <c:pt idx="98">
                  <c:v>18</c:v>
                </c:pt>
                <c:pt idx="99">
                  <c:v>21</c:v>
                </c:pt>
                <c:pt idx="100">
                  <c:v>45</c:v>
                </c:pt>
                <c:pt idx="101">
                  <c:v>27</c:v>
                </c:pt>
                <c:pt idx="102">
                  <c:v>16</c:v>
                </c:pt>
                <c:pt idx="103">
                  <c:v>9</c:v>
                </c:pt>
                <c:pt idx="104">
                  <c:v>12</c:v>
                </c:pt>
                <c:pt idx="105">
                  <c:v>37</c:v>
                </c:pt>
                <c:pt idx="106">
                  <c:v>33</c:v>
                </c:pt>
                <c:pt idx="107">
                  <c:v>9</c:v>
                </c:pt>
                <c:pt idx="108">
                  <c:v>42</c:v>
                </c:pt>
                <c:pt idx="109">
                  <c:v>18</c:v>
                </c:pt>
                <c:pt idx="110">
                  <c:v>56</c:v>
                </c:pt>
                <c:pt idx="111">
                  <c:v>5</c:v>
                </c:pt>
                <c:pt idx="112">
                  <c:v>24</c:v>
                </c:pt>
                <c:pt idx="113">
                  <c:v>22</c:v>
                </c:pt>
                <c:pt idx="114">
                  <c:v>17</c:v>
                </c:pt>
                <c:pt idx="115">
                  <c:v>14</c:v>
                </c:pt>
                <c:pt idx="116">
                  <c:v>11</c:v>
                </c:pt>
                <c:pt idx="117">
                  <c:v>13</c:v>
                </c:pt>
                <c:pt idx="118">
                  <c:v>11</c:v>
                </c:pt>
                <c:pt idx="119">
                  <c:v>45</c:v>
                </c:pt>
                <c:pt idx="120">
                  <c:v>14</c:v>
                </c:pt>
                <c:pt idx="121">
                  <c:v>15</c:v>
                </c:pt>
                <c:pt idx="122">
                  <c:v>39</c:v>
                </c:pt>
                <c:pt idx="123">
                  <c:v>3</c:v>
                </c:pt>
                <c:pt idx="124">
                  <c:v>7</c:v>
                </c:pt>
                <c:pt idx="125">
                  <c:v>15</c:v>
                </c:pt>
                <c:pt idx="126">
                  <c:v>32</c:v>
                </c:pt>
                <c:pt idx="127">
                  <c:v>46</c:v>
                </c:pt>
                <c:pt idx="128">
                  <c:v>15</c:v>
                </c:pt>
                <c:pt idx="129">
                  <c:v>7</c:v>
                </c:pt>
                <c:pt idx="130">
                  <c:v>23</c:v>
                </c:pt>
                <c:pt idx="131">
                  <c:v>13</c:v>
                </c:pt>
                <c:pt idx="132">
                  <c:v>31</c:v>
                </c:pt>
                <c:pt idx="133">
                  <c:v>22</c:v>
                </c:pt>
                <c:pt idx="134">
                  <c:v>19</c:v>
                </c:pt>
                <c:pt idx="135">
                  <c:v>25</c:v>
                </c:pt>
                <c:pt idx="136">
                  <c:v>6</c:v>
                </c:pt>
                <c:pt idx="137">
                  <c:v>11</c:v>
                </c:pt>
                <c:pt idx="138">
                  <c:v>50</c:v>
                </c:pt>
                <c:pt idx="139">
                  <c:v>8</c:v>
                </c:pt>
                <c:pt idx="140">
                  <c:v>24</c:v>
                </c:pt>
                <c:pt idx="141">
                  <c:v>18</c:v>
                </c:pt>
                <c:pt idx="142">
                  <c:v>34</c:v>
                </c:pt>
                <c:pt idx="143">
                  <c:v>49</c:v>
                </c:pt>
                <c:pt idx="144">
                  <c:v>18</c:v>
                </c:pt>
                <c:pt idx="145">
                  <c:v>23</c:v>
                </c:pt>
                <c:pt idx="146">
                  <c:v>5</c:v>
                </c:pt>
                <c:pt idx="147">
                  <c:v>6</c:v>
                </c:pt>
                <c:pt idx="148">
                  <c:v>20</c:v>
                </c:pt>
                <c:pt idx="149">
                  <c:v>9</c:v>
                </c:pt>
                <c:pt idx="150">
                  <c:v>50</c:v>
                </c:pt>
                <c:pt idx="151">
                  <c:v>15</c:v>
                </c:pt>
                <c:pt idx="152">
                  <c:v>1</c:v>
                </c:pt>
                <c:pt idx="153">
                  <c:v>22</c:v>
                </c:pt>
                <c:pt idx="154">
                  <c:v>1</c:v>
                </c:pt>
                <c:pt idx="155">
                  <c:v>20</c:v>
                </c:pt>
                <c:pt idx="156">
                  <c:v>20</c:v>
                </c:pt>
                <c:pt idx="157">
                  <c:v>14</c:v>
                </c:pt>
                <c:pt idx="158">
                  <c:v>19</c:v>
                </c:pt>
                <c:pt idx="159">
                  <c:v>6</c:v>
                </c:pt>
                <c:pt idx="160">
                  <c:v>16</c:v>
                </c:pt>
                <c:pt idx="161">
                  <c:v>12</c:v>
                </c:pt>
                <c:pt idx="162">
                  <c:v>40</c:v>
                </c:pt>
                <c:pt idx="163">
                  <c:v>21</c:v>
                </c:pt>
                <c:pt idx="164">
                  <c:v>23</c:v>
                </c:pt>
                <c:pt idx="165">
                  <c:v>8</c:v>
                </c:pt>
                <c:pt idx="166">
                  <c:v>5</c:v>
                </c:pt>
                <c:pt idx="167">
                  <c:v>2</c:v>
                </c:pt>
                <c:pt idx="168">
                  <c:v>29</c:v>
                </c:pt>
                <c:pt idx="169">
                  <c:v>7</c:v>
                </c:pt>
                <c:pt idx="170">
                  <c:v>21</c:v>
                </c:pt>
                <c:pt idx="171">
                  <c:v>7</c:v>
                </c:pt>
                <c:pt idx="172">
                  <c:v>15</c:v>
                </c:pt>
                <c:pt idx="173">
                  <c:v>53</c:v>
                </c:pt>
                <c:pt idx="174">
                  <c:v>39</c:v>
                </c:pt>
                <c:pt idx="175">
                  <c:v>6</c:v>
                </c:pt>
                <c:pt idx="176">
                  <c:v>32</c:v>
                </c:pt>
                <c:pt idx="177">
                  <c:v>9</c:v>
                </c:pt>
                <c:pt idx="178">
                  <c:v>12</c:v>
                </c:pt>
              </c:numCache>
            </c:numRef>
          </c:val>
          <c:smooth val="0"/>
          <c:extLst>
            <c:ext xmlns:c16="http://schemas.microsoft.com/office/drawing/2014/chart" uri="{C3380CC4-5D6E-409C-BE32-E72D297353CC}">
              <c16:uniqueId val="{00000000-2B87-4A54-A915-6AAA187D9641}"/>
            </c:ext>
          </c:extLst>
        </c:ser>
        <c:dLbls>
          <c:showLegendKey val="0"/>
          <c:showVal val="0"/>
          <c:showCatName val="0"/>
          <c:showSerName val="0"/>
          <c:showPercent val="0"/>
          <c:showBubbleSize val="0"/>
        </c:dLbls>
        <c:smooth val="0"/>
        <c:axId val="125596768"/>
        <c:axId val="125591360"/>
      </c:lineChart>
      <c:catAx>
        <c:axId val="125596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91360"/>
        <c:crosses val="autoZero"/>
        <c:auto val="1"/>
        <c:lblAlgn val="ctr"/>
        <c:lblOffset val="100"/>
        <c:noMultiLvlLbl val="0"/>
      </c:catAx>
      <c:valAx>
        <c:axId val="125591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967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[Pharmacity_Sales_Analysis_V1.xlsx]Data_analysis!PivotTable14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rgbClr val="71BD44"/>
                </a:solidFill>
                <a:latin typeface="Times New Roman" panose="02020603050405020304" pitchFamily="18" charset="0"/>
                <a:cs typeface="Times New Roman" panose="02020603050405020304" pitchFamily="18" charset="0"/>
              </a:rPr>
              <a:t>Phân</a:t>
            </a:r>
            <a:r>
              <a:rPr lang="en-US" sz="1400" b="1" baseline="0">
                <a:solidFill>
                  <a:srgbClr val="71BD44"/>
                </a:solidFill>
                <a:latin typeface="Times New Roman" panose="02020603050405020304" pitchFamily="18" charset="0"/>
                <a:cs typeface="Times New Roman" panose="02020603050405020304" pitchFamily="18" charset="0"/>
              </a:rPr>
              <a:t> Phối Về Sản Lượng Bán Sản Phẩm</a:t>
            </a:r>
            <a:endParaRPr lang="en-US" sz="1400" b="1">
              <a:solidFill>
                <a:srgbClr val="71BD44"/>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AA520"/>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Data_analysis!$H$30</c:f>
              <c:strCache>
                <c:ptCount val="1"/>
                <c:pt idx="0">
                  <c:v>Total</c:v>
                </c:pt>
              </c:strCache>
            </c:strRef>
          </c:tx>
          <c:spPr>
            <a:solidFill>
              <a:srgbClr val="DAA520"/>
            </a:solidFill>
            <a:ln>
              <a:solidFill>
                <a:schemeClr val="bg1"/>
              </a:solidFill>
            </a:ln>
            <a:effectLst/>
          </c:spPr>
          <c:invertIfNegative val="0"/>
          <c:cat>
            <c:strRef>
              <c:f>Data_analysis!$G$31:$G$41</c:f>
              <c:strCache>
                <c:ptCount val="10"/>
                <c:pt idx="0">
                  <c:v>1-2</c:v>
                </c:pt>
                <c:pt idx="1">
                  <c:v>3-4</c:v>
                </c:pt>
                <c:pt idx="2">
                  <c:v>5-6</c:v>
                </c:pt>
                <c:pt idx="3">
                  <c:v>7-8</c:v>
                </c:pt>
                <c:pt idx="4">
                  <c:v>9-10</c:v>
                </c:pt>
                <c:pt idx="5">
                  <c:v>11-12</c:v>
                </c:pt>
                <c:pt idx="6">
                  <c:v>13-14</c:v>
                </c:pt>
                <c:pt idx="7">
                  <c:v>15-16</c:v>
                </c:pt>
                <c:pt idx="8">
                  <c:v>17-18</c:v>
                </c:pt>
                <c:pt idx="9">
                  <c:v>19-20</c:v>
                </c:pt>
              </c:strCache>
            </c:strRef>
          </c:cat>
          <c:val>
            <c:numRef>
              <c:f>Data_analysis!$H$31:$H$41</c:f>
              <c:numCache>
                <c:formatCode>General</c:formatCode>
                <c:ptCount val="10"/>
                <c:pt idx="0">
                  <c:v>38</c:v>
                </c:pt>
                <c:pt idx="1">
                  <c:v>32</c:v>
                </c:pt>
                <c:pt idx="2">
                  <c:v>33</c:v>
                </c:pt>
                <c:pt idx="3">
                  <c:v>35</c:v>
                </c:pt>
                <c:pt idx="4">
                  <c:v>27</c:v>
                </c:pt>
                <c:pt idx="5">
                  <c:v>32</c:v>
                </c:pt>
                <c:pt idx="6">
                  <c:v>33</c:v>
                </c:pt>
                <c:pt idx="7">
                  <c:v>31</c:v>
                </c:pt>
                <c:pt idx="8">
                  <c:v>36</c:v>
                </c:pt>
                <c:pt idx="9">
                  <c:v>36</c:v>
                </c:pt>
              </c:numCache>
            </c:numRef>
          </c:val>
          <c:extLst>
            <c:ext xmlns:c16="http://schemas.microsoft.com/office/drawing/2014/chart" uri="{C3380CC4-5D6E-409C-BE32-E72D297353CC}">
              <c16:uniqueId val="{00000000-12E9-46A7-B600-A1F15F23C4BE}"/>
            </c:ext>
          </c:extLst>
        </c:ser>
        <c:dLbls>
          <c:showLegendKey val="0"/>
          <c:showVal val="0"/>
          <c:showCatName val="0"/>
          <c:showSerName val="0"/>
          <c:showPercent val="0"/>
          <c:showBubbleSize val="0"/>
        </c:dLbls>
        <c:gapWidth val="0"/>
        <c:overlap val="-27"/>
        <c:axId val="128686288"/>
        <c:axId val="128710000"/>
      </c:barChart>
      <c:catAx>
        <c:axId val="128686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10000"/>
        <c:crosses val="autoZero"/>
        <c:auto val="1"/>
        <c:lblAlgn val="ctr"/>
        <c:lblOffset val="100"/>
        <c:noMultiLvlLbl val="0"/>
      </c:catAx>
      <c:valAx>
        <c:axId val="128710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862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Trung Bình Giá Của Sản phẩm </cx:v>
        </cx:txData>
      </cx:tx>
      <cx:txPr>
        <a:bodyPr spcFirstLastPara="1" vertOverflow="ellipsis" horzOverflow="overflow" wrap="square" lIns="0" tIns="0" rIns="0" bIns="0" anchor="ctr" anchorCtr="1"/>
        <a:lstStyle/>
        <a:p>
          <a:pPr algn="ctr" rtl="0">
            <a:defRPr/>
          </a:pPr>
          <a:r>
            <a:rPr lang="en-US" sz="1400" b="1" i="0" u="none" strike="noStrike" baseline="0">
              <a:solidFill>
                <a:srgbClr val="71BD44"/>
              </a:solidFill>
              <a:latin typeface="Times New Roman" panose="02020603050405020304" pitchFamily="18" charset="0"/>
              <a:cs typeface="Times New Roman" panose="02020603050405020304" pitchFamily="18" charset="0"/>
            </a:rPr>
            <a:t>Trung Bình Giá Của Sản phẩm </a:t>
          </a:r>
        </a:p>
      </cx:txPr>
    </cx:title>
    <cx:plotArea>
      <cx:plotAreaRegion>
        <cx:series layoutId="treemap" uniqueId="{AC82275D-2036-4BEE-AFBB-E42986FDC483}">
          <cx:dataPt idx="0">
            <cx:spPr>
              <a:solidFill>
                <a:srgbClr val="71BD44"/>
              </a:solidFill>
            </cx:spPr>
          </cx:dataPt>
          <cx:dataPt idx="2">
            <cx:spPr>
              <a:solidFill>
                <a:srgbClr val="6600CC"/>
              </a:solidFill>
            </cx:spPr>
          </cx:dataPt>
          <cx:dataPt idx="3">
            <cx:spPr>
              <a:solidFill>
                <a:srgbClr val="DAA520"/>
              </a:solidFill>
            </cx:spPr>
          </cx:dataPt>
          <cx:dataPt idx="4">
            <cx:spPr>
              <a:solidFill>
                <a:srgbClr val="5B9BD5">
                  <a:lumMod val="60000"/>
                  <a:lumOff val="40000"/>
                </a:srgbClr>
              </a:solidFill>
            </cx:spPr>
          </cx:dataPt>
          <cx:dataPt idx="5">
            <cx:spPr>
              <a:solidFill>
                <a:srgbClr val="FF5050"/>
              </a:solidFill>
            </cx:spPr>
          </cx:dataPt>
          <cx:dataPt idx="6">
            <cx:spPr>
              <a:solidFill>
                <a:sysClr val="window" lastClr="FFFFFF">
                  <a:lumMod val="85000"/>
                </a:sysClr>
              </a:solidFill>
            </cx:spPr>
          </cx:dataPt>
          <cx:dataLabels>
            <cx:visibility seriesName="0" categoryName="1" value="0"/>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hyperlink" Target="#Insights_and_Recomendations!A1"/><Relationship Id="rId3" Type="http://schemas.openxmlformats.org/officeDocument/2006/relationships/hyperlink" Target="#Raw_data!A1"/><Relationship Id="rId7" Type="http://schemas.openxmlformats.org/officeDocument/2006/relationships/hyperlink" Target="#Dashboardtab2!A1"/><Relationship Id="rId2" Type="http://schemas.openxmlformats.org/officeDocument/2006/relationships/image" Target="../media/image2.png"/><Relationship Id="rId1" Type="http://schemas.openxmlformats.org/officeDocument/2006/relationships/image" Target="../media/image1.jpeg"/><Relationship Id="rId6" Type="http://schemas.openxmlformats.org/officeDocument/2006/relationships/hyperlink" Target="#Dashboardtab1!A1"/><Relationship Id="rId5" Type="http://schemas.openxmlformats.org/officeDocument/2006/relationships/hyperlink" Target="#Data_analysis!A1"/><Relationship Id="rId4" Type="http://schemas.openxmlformats.org/officeDocument/2006/relationships/hyperlink" Target="#Cleanning_data!A1"/></Relationships>
</file>

<file path=xl/drawings/_rels/drawing2.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3.xml"/><Relationship Id="rId7"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hyperlink" Target="#Dashboardtab2!A1"/><Relationship Id="rId4" Type="http://schemas.openxmlformats.org/officeDocument/2006/relationships/chart" Target="../charts/chart4.xml"/><Relationship Id="rId9" Type="http://schemas.openxmlformats.org/officeDocument/2006/relationships/hyperlink" Target="#Dashboardtab1!A1"/></Relationships>
</file>

<file path=xl/drawings/_rels/drawing3.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hyperlink" Target="#Dashboardtab1!A1"/><Relationship Id="rId7" Type="http://schemas.openxmlformats.org/officeDocument/2006/relationships/chart" Target="../charts/chart9.xml"/><Relationship Id="rId2" Type="http://schemas.openxmlformats.org/officeDocument/2006/relationships/image" Target="../media/image2.png"/><Relationship Id="rId1" Type="http://schemas.openxmlformats.org/officeDocument/2006/relationships/image" Target="../media/image3.png"/><Relationship Id="rId6" Type="http://schemas.openxmlformats.org/officeDocument/2006/relationships/chart" Target="../charts/chart8.xml"/><Relationship Id="rId11" Type="http://schemas.microsoft.com/office/2014/relationships/chartEx" Target="../charts/chartEx1.xml"/><Relationship Id="rId5" Type="http://schemas.openxmlformats.org/officeDocument/2006/relationships/chart" Target="../charts/chart7.xml"/><Relationship Id="rId10" Type="http://schemas.openxmlformats.org/officeDocument/2006/relationships/chart" Target="../charts/chart12.xml"/><Relationship Id="rId4" Type="http://schemas.openxmlformats.org/officeDocument/2006/relationships/hyperlink" Target="#Dashboardtab2!A1"/><Relationship Id="rId9"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4</xdr:col>
      <xdr:colOff>85725</xdr:colOff>
      <xdr:row>0</xdr:row>
      <xdr:rowOff>161925</xdr:rowOff>
    </xdr:from>
    <xdr:to>
      <xdr:col>11</xdr:col>
      <xdr:colOff>85725</xdr:colOff>
      <xdr:row>36</xdr:row>
      <xdr:rowOff>180975</xdr:rowOff>
    </xdr:to>
    <xdr:sp macro="" textlink="">
      <xdr:nvSpPr>
        <xdr:cNvPr id="39" name="Rectangle: Rounded Corners 38">
          <a:extLst>
            <a:ext uri="{FF2B5EF4-FFF2-40B4-BE49-F238E27FC236}">
              <a16:creationId xmlns:a16="http://schemas.microsoft.com/office/drawing/2014/main" id="{89D6AF7B-05FB-4261-A0FB-3CFD8484993C}"/>
            </a:ext>
          </a:extLst>
        </xdr:cNvPr>
        <xdr:cNvSpPr/>
      </xdr:nvSpPr>
      <xdr:spPr>
        <a:xfrm>
          <a:off x="2524125" y="161925"/>
          <a:ext cx="4267200" cy="6877050"/>
        </a:xfrm>
        <a:prstGeom prst="roundRect">
          <a:avLst/>
        </a:prstGeom>
        <a:solidFill>
          <a:srgbClr val="71BD44"/>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a:p>
          <a:pPr algn="l"/>
          <a:endParaRPr lang="en-US" sz="1100"/>
        </a:p>
      </xdr:txBody>
    </xdr:sp>
    <xdr:clientData/>
  </xdr:twoCellAnchor>
  <xdr:twoCellAnchor>
    <xdr:from>
      <xdr:col>11</xdr:col>
      <xdr:colOff>409575</xdr:colOff>
      <xdr:row>0</xdr:row>
      <xdr:rowOff>180975</xdr:rowOff>
    </xdr:from>
    <xdr:to>
      <xdr:col>18</xdr:col>
      <xdr:colOff>409575</xdr:colOff>
      <xdr:row>37</xdr:row>
      <xdr:rowOff>9525</xdr:rowOff>
    </xdr:to>
    <xdr:sp macro="" textlink="">
      <xdr:nvSpPr>
        <xdr:cNvPr id="40" name="Rectangle: Rounded Corners 39">
          <a:extLst>
            <a:ext uri="{FF2B5EF4-FFF2-40B4-BE49-F238E27FC236}">
              <a16:creationId xmlns:a16="http://schemas.microsoft.com/office/drawing/2014/main" id="{7B0E341E-AD6D-4A8E-B928-5A1ACD2200E5}"/>
            </a:ext>
          </a:extLst>
        </xdr:cNvPr>
        <xdr:cNvSpPr/>
      </xdr:nvSpPr>
      <xdr:spPr>
        <a:xfrm>
          <a:off x="5895975" y="180975"/>
          <a:ext cx="4267200" cy="6877050"/>
        </a:xfrm>
        <a:prstGeom prst="roundRect">
          <a:avLst/>
        </a:prstGeom>
        <a:solidFill>
          <a:srgbClr val="71BD44"/>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latin typeface="Times New Roman" panose="02020603050405020304" pitchFamily="18" charset="0"/>
              <a:cs typeface="Times New Roman" panose="02020603050405020304" pitchFamily="18" charset="0"/>
            </a:rPr>
            <a:t>DỰ</a:t>
          </a:r>
          <a:r>
            <a:rPr lang="en-US" sz="1400" b="1" baseline="0">
              <a:latin typeface="Times New Roman" panose="02020603050405020304" pitchFamily="18" charset="0"/>
              <a:cs typeface="Times New Roman" panose="02020603050405020304" pitchFamily="18" charset="0"/>
            </a:rPr>
            <a:t> ÁN: PHÂN TÍCH DỮ LIỆU DOANH SỐ BÁN HÀNG CỦA CÔNG TY DƯỢC PHẨM PHARMACITY THEO QUỐC GIA</a:t>
          </a:r>
          <a:endParaRPr lang="en-US" sz="1400" b="1">
            <a:latin typeface="Times New Roman" panose="02020603050405020304" pitchFamily="18" charset="0"/>
            <a:cs typeface="Times New Roman" panose="02020603050405020304" pitchFamily="18" charset="0"/>
          </a:endParaRPr>
        </a:p>
      </xdr:txBody>
    </xdr:sp>
    <xdr:clientData/>
  </xdr:twoCellAnchor>
  <xdr:twoCellAnchor>
    <xdr:from>
      <xdr:col>19</xdr:col>
      <xdr:colOff>104775</xdr:colOff>
      <xdr:row>0</xdr:row>
      <xdr:rowOff>180975</xdr:rowOff>
    </xdr:from>
    <xdr:to>
      <xdr:col>26</xdr:col>
      <xdr:colOff>104775</xdr:colOff>
      <xdr:row>37</xdr:row>
      <xdr:rowOff>9525</xdr:rowOff>
    </xdr:to>
    <xdr:sp macro="" textlink="">
      <xdr:nvSpPr>
        <xdr:cNvPr id="41" name="Rectangle: Rounded Corners 40">
          <a:extLst>
            <a:ext uri="{FF2B5EF4-FFF2-40B4-BE49-F238E27FC236}">
              <a16:creationId xmlns:a16="http://schemas.microsoft.com/office/drawing/2014/main" id="{D6DC2229-0C14-4A3F-B8AE-8009F59488E2}"/>
            </a:ext>
          </a:extLst>
        </xdr:cNvPr>
        <xdr:cNvSpPr/>
      </xdr:nvSpPr>
      <xdr:spPr>
        <a:xfrm>
          <a:off x="10467975" y="180975"/>
          <a:ext cx="4267200" cy="6877050"/>
        </a:xfrm>
        <a:prstGeom prst="roundRect">
          <a:avLst/>
        </a:prstGeom>
        <a:solidFill>
          <a:srgbClr val="71BD44"/>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4</xdr:col>
      <xdr:colOff>428625</xdr:colOff>
      <xdr:row>2</xdr:row>
      <xdr:rowOff>19049</xdr:rowOff>
    </xdr:from>
    <xdr:to>
      <xdr:col>6</xdr:col>
      <xdr:colOff>38100</xdr:colOff>
      <xdr:row>6</xdr:row>
      <xdr:rowOff>85724</xdr:rowOff>
    </xdr:to>
    <xdr:pic>
      <xdr:nvPicPr>
        <xdr:cNvPr id="3" name="Picture 2">
          <a:extLst>
            <a:ext uri="{FF2B5EF4-FFF2-40B4-BE49-F238E27FC236}">
              <a16:creationId xmlns:a16="http://schemas.microsoft.com/office/drawing/2014/main" id="{46E7FA9A-3CD8-4A8F-B1BF-09B61EC583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67025" y="400049"/>
          <a:ext cx="828675" cy="828675"/>
        </a:xfrm>
        <a:prstGeom prst="rect">
          <a:avLst/>
        </a:prstGeom>
        <a:ln>
          <a:noFill/>
        </a:ln>
        <a:effectLst>
          <a:reflection blurRad="12700" stA="30000" endPos="30000" dist="5000" dir="5400000" sy="-100000" algn="bl" rotWithShape="0"/>
        </a:effectLst>
        <a:scene3d>
          <a:camera prst="perspectiveContrastingLeftFacing">
            <a:rot lat="300000" lon="19800000" rev="0"/>
          </a:camera>
          <a:lightRig rig="threePt" dir="t">
            <a:rot lat="0" lon="0" rev="2700000"/>
          </a:lightRig>
        </a:scene3d>
        <a:sp3d>
          <a:bevelT w="63500" h="50800"/>
        </a:sp3d>
      </xdr:spPr>
    </xdr:pic>
    <xdr:clientData/>
  </xdr:twoCellAnchor>
  <xdr:oneCellAnchor>
    <xdr:from>
      <xdr:col>6</xdr:col>
      <xdr:colOff>47625</xdr:colOff>
      <xdr:row>1</xdr:row>
      <xdr:rowOff>161925</xdr:rowOff>
    </xdr:from>
    <xdr:ext cx="3075778" cy="1124667"/>
    <xdr:sp macro="" textlink="">
      <xdr:nvSpPr>
        <xdr:cNvPr id="2" name="TextBox 1">
          <a:extLst>
            <a:ext uri="{FF2B5EF4-FFF2-40B4-BE49-F238E27FC236}">
              <a16:creationId xmlns:a16="http://schemas.microsoft.com/office/drawing/2014/main" id="{D1714063-E56B-449F-8D61-5C69ECA5CF57}"/>
            </a:ext>
          </a:extLst>
        </xdr:cNvPr>
        <xdr:cNvSpPr txBox="1"/>
      </xdr:nvSpPr>
      <xdr:spPr>
        <a:xfrm>
          <a:off x="3705225" y="352425"/>
          <a:ext cx="3075778" cy="11246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solidFill>
                <a:schemeClr val="bg1"/>
              </a:solidFill>
              <a:latin typeface="Times New Roman" panose="02020603050405020304" pitchFamily="18" charset="0"/>
              <a:cs typeface="Times New Roman" panose="02020603050405020304" pitchFamily="18" charset="0"/>
            </a:rPr>
            <a:t>Tác</a:t>
          </a:r>
          <a:r>
            <a:rPr lang="en-US" sz="1400" b="1" baseline="0">
              <a:solidFill>
                <a:schemeClr val="bg1"/>
              </a:solidFill>
              <a:latin typeface="Times New Roman" panose="02020603050405020304" pitchFamily="18" charset="0"/>
              <a:cs typeface="Times New Roman" panose="02020603050405020304" pitchFamily="18" charset="0"/>
            </a:rPr>
            <a:t> Giả: Nguyễn Khắc Hưng</a:t>
          </a:r>
        </a:p>
        <a:p>
          <a:r>
            <a:rPr lang="en-US" sz="1400" b="1" baseline="0">
              <a:solidFill>
                <a:schemeClr val="bg1"/>
              </a:solidFill>
              <a:latin typeface="Times New Roman" panose="02020603050405020304" pitchFamily="18" charset="0"/>
              <a:cs typeface="Times New Roman" panose="02020603050405020304" pitchFamily="18" charset="0"/>
            </a:rPr>
            <a:t>Vị trí: Data Analyst</a:t>
          </a:r>
        </a:p>
        <a:p>
          <a:r>
            <a:rPr lang="en-US" sz="1400" b="1" baseline="0">
              <a:solidFill>
                <a:schemeClr val="bg1"/>
              </a:solidFill>
              <a:latin typeface="Times New Roman" panose="02020603050405020304" pitchFamily="18" charset="0"/>
              <a:cs typeface="Times New Roman" panose="02020603050405020304" pitchFamily="18" charset="0"/>
            </a:rPr>
            <a:t>Nghành: Công Nghệ Thông Tin</a:t>
          </a:r>
        </a:p>
        <a:p>
          <a:r>
            <a:rPr lang="en-US" sz="1400" b="1" baseline="0">
              <a:solidFill>
                <a:schemeClr val="bg1"/>
              </a:solidFill>
              <a:latin typeface="Times New Roman" panose="02020603050405020304" pitchFamily="18" charset="0"/>
              <a:cs typeface="Times New Roman" panose="02020603050405020304" pitchFamily="18" charset="0"/>
            </a:rPr>
            <a:t>Chuyên Nghành: Khoa học dữ liệu và</a:t>
          </a:r>
        </a:p>
        <a:p>
          <a:r>
            <a:rPr lang="en-US" sz="1400" b="1" baseline="0">
              <a:solidFill>
                <a:schemeClr val="bg1"/>
              </a:solidFill>
              <a:latin typeface="Times New Roman" panose="02020603050405020304" pitchFamily="18" charset="0"/>
              <a:cs typeface="Times New Roman" panose="02020603050405020304" pitchFamily="18" charset="0"/>
            </a:rPr>
            <a:t>trí tuệ nhân tạo</a:t>
          </a:r>
          <a:endParaRPr lang="en-US" sz="1400" b="1">
            <a:solidFill>
              <a:schemeClr val="bg1"/>
            </a:solidFill>
            <a:latin typeface="Times New Roman" panose="02020603050405020304" pitchFamily="18" charset="0"/>
            <a:cs typeface="Times New Roman" panose="02020603050405020304" pitchFamily="18" charset="0"/>
          </a:endParaRPr>
        </a:p>
      </xdr:txBody>
    </xdr:sp>
    <xdr:clientData/>
  </xdr:oneCellAnchor>
  <xdr:oneCellAnchor>
    <xdr:from>
      <xdr:col>4</xdr:col>
      <xdr:colOff>66675</xdr:colOff>
      <xdr:row>7</xdr:row>
      <xdr:rowOff>133350</xdr:rowOff>
    </xdr:from>
    <xdr:ext cx="4454233" cy="2923877"/>
    <xdr:sp macro="" textlink="">
      <xdr:nvSpPr>
        <xdr:cNvPr id="4" name="TextBox 3">
          <a:extLst>
            <a:ext uri="{FF2B5EF4-FFF2-40B4-BE49-F238E27FC236}">
              <a16:creationId xmlns:a16="http://schemas.microsoft.com/office/drawing/2014/main" id="{4ED51635-0499-42E4-8241-35664AC8158F}"/>
            </a:ext>
          </a:extLst>
        </xdr:cNvPr>
        <xdr:cNvSpPr txBox="1"/>
      </xdr:nvSpPr>
      <xdr:spPr>
        <a:xfrm>
          <a:off x="2505075" y="1466850"/>
          <a:ext cx="4454233" cy="29238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b="1">
              <a:solidFill>
                <a:schemeClr val="bg1"/>
              </a:solidFill>
              <a:latin typeface="Times New Roman" panose="02020603050405020304" pitchFamily="18" charset="0"/>
              <a:cs typeface="Times New Roman" panose="02020603050405020304" pitchFamily="18" charset="0"/>
            </a:rPr>
            <a:t>Projects:</a:t>
          </a:r>
          <a:r>
            <a:rPr lang="en-US" sz="1200" b="1" baseline="0">
              <a:solidFill>
                <a:schemeClr val="bg1"/>
              </a:solidFill>
              <a:latin typeface="Times New Roman" panose="02020603050405020304" pitchFamily="18" charset="0"/>
              <a:cs typeface="Times New Roman" panose="02020603050405020304" pitchFamily="18" charset="0"/>
            </a:rPr>
            <a:t> </a:t>
          </a:r>
        </a:p>
        <a:p>
          <a:r>
            <a:rPr lang="en-US" sz="1200" b="1" baseline="0">
              <a:solidFill>
                <a:schemeClr val="bg1"/>
              </a:solidFill>
              <a:latin typeface="Times New Roman" panose="02020603050405020304" pitchFamily="18" charset="0"/>
              <a:cs typeface="Times New Roman" panose="02020603050405020304" pitchFamily="18" charset="0"/>
            </a:rPr>
            <a:t>+ Xây dựng hybrid model trong việc dự báo biến động thị </a:t>
          </a:r>
        </a:p>
        <a:p>
          <a:r>
            <a:rPr lang="en-US" sz="1200" b="1" baseline="0">
              <a:solidFill>
                <a:schemeClr val="bg1"/>
              </a:solidFill>
              <a:latin typeface="Times New Roman" panose="02020603050405020304" pitchFamily="18" charset="0"/>
              <a:cs typeface="Times New Roman" panose="02020603050405020304" pitchFamily="18" charset="0"/>
            </a:rPr>
            <a:t>trường(volatility) crypto toàn cầu</a:t>
          </a:r>
        </a:p>
        <a:p>
          <a:r>
            <a:rPr lang="en-US" sz="1200" b="1" baseline="0">
              <a:solidFill>
                <a:schemeClr val="bg1"/>
              </a:solidFill>
              <a:latin typeface="Times New Roman" panose="02020603050405020304" pitchFamily="18" charset="0"/>
              <a:cs typeface="Times New Roman" panose="02020603050405020304" pitchFamily="18" charset="0"/>
            </a:rPr>
            <a:t>+ Ứng dụng model học máy trong việc dự báo nguy cơ mắc bệnh </a:t>
          </a:r>
        </a:p>
        <a:p>
          <a:r>
            <a:rPr lang="en-US" sz="1200" b="1" baseline="0">
              <a:solidFill>
                <a:schemeClr val="bg1"/>
              </a:solidFill>
              <a:latin typeface="Times New Roman" panose="02020603050405020304" pitchFamily="18" charset="0"/>
              <a:cs typeface="Times New Roman" panose="02020603050405020304" pitchFamily="18" charset="0"/>
            </a:rPr>
            <a:t>tiểu đường </a:t>
          </a:r>
        </a:p>
        <a:p>
          <a:r>
            <a:rPr lang="en-US" sz="1200" b="1" baseline="0">
              <a:solidFill>
                <a:schemeClr val="bg1"/>
              </a:solidFill>
              <a:latin typeface="Times New Roman" panose="02020603050405020304" pitchFamily="18" charset="0"/>
              <a:cs typeface="Times New Roman" panose="02020603050405020304" pitchFamily="18" charset="0"/>
            </a:rPr>
            <a:t>+ Ứng dụng model học máy trong việc dự báo khả năng chiến </a:t>
          </a:r>
        </a:p>
        <a:p>
          <a:r>
            <a:rPr lang="en-US" sz="1200" b="1" baseline="0">
              <a:solidFill>
                <a:schemeClr val="bg1"/>
              </a:solidFill>
              <a:latin typeface="Times New Roman" panose="02020603050405020304" pitchFamily="18" charset="0"/>
              <a:cs typeface="Times New Roman" panose="02020603050405020304" pitchFamily="18" charset="0"/>
            </a:rPr>
            <a:t>thắng 1 trận đấu csgo</a:t>
          </a:r>
        </a:p>
        <a:p>
          <a:r>
            <a:rPr lang="en-US" sz="1200" b="1" baseline="0">
              <a:solidFill>
                <a:schemeClr val="bg1"/>
              </a:solidFill>
              <a:latin typeface="Times New Roman" panose="02020603050405020304" pitchFamily="18" charset="0"/>
              <a:cs typeface="Times New Roman" panose="02020603050405020304" pitchFamily="18" charset="0"/>
            </a:rPr>
            <a:t>+ Ứng dụng model học máy PCA và Kmean trong việc phân loại </a:t>
          </a:r>
        </a:p>
        <a:p>
          <a:r>
            <a:rPr lang="en-US" sz="1200" b="1" baseline="0">
              <a:solidFill>
                <a:schemeClr val="bg1"/>
              </a:solidFill>
              <a:latin typeface="Times New Roman" panose="02020603050405020304" pitchFamily="18" charset="0"/>
              <a:cs typeface="Times New Roman" panose="02020603050405020304" pitchFamily="18" charset="0"/>
            </a:rPr>
            <a:t>nhóm khách hàng trên sàn thương mại điện tử Amazon</a:t>
          </a:r>
        </a:p>
        <a:p>
          <a:r>
            <a:rPr lang="en-US" sz="1200" b="1" baseline="0">
              <a:solidFill>
                <a:schemeClr val="bg1"/>
              </a:solidFill>
              <a:latin typeface="Times New Roman" panose="02020603050405020304" pitchFamily="18" charset="0"/>
              <a:cs typeface="Times New Roman" panose="02020603050405020304" pitchFamily="18" charset="0"/>
            </a:rPr>
            <a:t>+ Xây dựng dashboard tương tác động bằng power BI trong </a:t>
          </a:r>
        </a:p>
        <a:p>
          <a:r>
            <a:rPr lang="en-US" sz="1200" b="1" baseline="0">
              <a:solidFill>
                <a:schemeClr val="bg1"/>
              </a:solidFill>
              <a:latin typeface="Times New Roman" panose="02020603050405020304" pitchFamily="18" charset="0"/>
              <a:cs typeface="Times New Roman" panose="02020603050405020304" pitchFamily="18" charset="0"/>
            </a:rPr>
            <a:t>việc quản lý doanh số tự động </a:t>
          </a:r>
        </a:p>
        <a:p>
          <a:r>
            <a:rPr lang="en-US" sz="1200" b="1" baseline="0">
              <a:solidFill>
                <a:schemeClr val="bg1"/>
              </a:solidFill>
              <a:latin typeface="Times New Roman" panose="02020603050405020304" pitchFamily="18" charset="0"/>
              <a:cs typeface="Times New Roman" panose="02020603050405020304" pitchFamily="18" charset="0"/>
            </a:rPr>
            <a:t>+ Phân tích dữ liệu doanh số bán hàng của Amazon năm 2025 </a:t>
          </a:r>
        </a:p>
        <a:p>
          <a:r>
            <a:rPr lang="en-US" sz="1200" b="1" baseline="0">
              <a:solidFill>
                <a:schemeClr val="bg1"/>
              </a:solidFill>
              <a:latin typeface="Times New Roman" panose="02020603050405020304" pitchFamily="18" charset="0"/>
              <a:cs typeface="Times New Roman" panose="02020603050405020304" pitchFamily="18" charset="0"/>
            </a:rPr>
            <a:t>theo tháng</a:t>
          </a:r>
        </a:p>
        <a:p>
          <a:r>
            <a:rPr lang="en-US" sz="1200" b="1" baseline="0">
              <a:solidFill>
                <a:schemeClr val="bg1"/>
              </a:solidFill>
              <a:latin typeface="Times New Roman" panose="02020603050405020304" pitchFamily="18" charset="0"/>
              <a:cs typeface="Times New Roman" panose="02020603050405020304" pitchFamily="18" charset="0"/>
            </a:rPr>
            <a:t>+ Phân tích dữ liệu doanh số bán hàng của Pharmacity năm </a:t>
          </a:r>
        </a:p>
        <a:p>
          <a:r>
            <a:rPr lang="en-US" sz="1200" b="1" baseline="0">
              <a:solidFill>
                <a:schemeClr val="bg1"/>
              </a:solidFill>
              <a:latin typeface="Times New Roman" panose="02020603050405020304" pitchFamily="18" charset="0"/>
              <a:cs typeface="Times New Roman" panose="02020603050405020304" pitchFamily="18" charset="0"/>
            </a:rPr>
            <a:t>2022 theo quốc gia</a:t>
          </a:r>
        </a:p>
        <a:p>
          <a:endParaRPr lang="en-US" sz="1200" b="1">
            <a:solidFill>
              <a:schemeClr val="bg1"/>
            </a:solidFill>
            <a:latin typeface="Times New Roman" panose="02020603050405020304" pitchFamily="18" charset="0"/>
            <a:cs typeface="Times New Roman" panose="02020603050405020304" pitchFamily="18" charset="0"/>
          </a:endParaRPr>
        </a:p>
      </xdr:txBody>
    </xdr:sp>
    <xdr:clientData/>
  </xdr:oneCellAnchor>
  <xdr:oneCellAnchor>
    <xdr:from>
      <xdr:col>4</xdr:col>
      <xdr:colOff>76200</xdr:colOff>
      <xdr:row>21</xdr:row>
      <xdr:rowOff>104775</xdr:rowOff>
    </xdr:from>
    <xdr:ext cx="4373313" cy="2746906"/>
    <xdr:sp macro="" textlink="">
      <xdr:nvSpPr>
        <xdr:cNvPr id="5" name="TextBox 4">
          <a:extLst>
            <a:ext uri="{FF2B5EF4-FFF2-40B4-BE49-F238E27FC236}">
              <a16:creationId xmlns:a16="http://schemas.microsoft.com/office/drawing/2014/main" id="{D4763546-23DB-42D5-9E79-FD61BA87AA72}"/>
            </a:ext>
          </a:extLst>
        </xdr:cNvPr>
        <xdr:cNvSpPr txBox="1"/>
      </xdr:nvSpPr>
      <xdr:spPr>
        <a:xfrm>
          <a:off x="2514600" y="4105275"/>
          <a:ext cx="4373313" cy="2746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b="1">
              <a:solidFill>
                <a:schemeClr val="bg1"/>
              </a:solidFill>
              <a:latin typeface="Times New Roman" panose="02020603050405020304" pitchFamily="18" charset="0"/>
              <a:cs typeface="Times New Roman" panose="02020603050405020304" pitchFamily="18" charset="0"/>
            </a:rPr>
            <a:t>Skills: </a:t>
          </a:r>
        </a:p>
        <a:p>
          <a:r>
            <a:rPr lang="en-US" sz="1200" b="1">
              <a:solidFill>
                <a:schemeClr val="bg1"/>
              </a:solidFill>
              <a:latin typeface="Times New Roman" panose="02020603050405020304" pitchFamily="18" charset="0"/>
              <a:cs typeface="Times New Roman" panose="02020603050405020304" pitchFamily="18" charset="0"/>
            </a:rPr>
            <a:t>Programming Languages : Python , C/C++,SQL </a:t>
          </a:r>
        </a:p>
        <a:p>
          <a:r>
            <a:rPr lang="en-US" sz="1200" b="1">
              <a:solidFill>
                <a:schemeClr val="bg1"/>
              </a:solidFill>
              <a:latin typeface="Times New Roman" panose="02020603050405020304" pitchFamily="18" charset="0"/>
              <a:cs typeface="Times New Roman" panose="02020603050405020304" pitchFamily="18" charset="0"/>
            </a:rPr>
            <a:t>Programming Frameworks : Pandas , Numpy , Matplotlib ,</a:t>
          </a:r>
        </a:p>
        <a:p>
          <a:r>
            <a:rPr lang="en-US" sz="1200" b="1">
              <a:solidFill>
                <a:schemeClr val="bg1"/>
              </a:solidFill>
              <a:latin typeface="Times New Roman" panose="02020603050405020304" pitchFamily="18" charset="0"/>
              <a:cs typeface="Times New Roman" panose="02020603050405020304" pitchFamily="18" charset="0"/>
            </a:rPr>
            <a:t>Seaborn , Plotly , Scikit-learn , Dash, Streamlit , Django , </a:t>
          </a:r>
        </a:p>
        <a:p>
          <a:r>
            <a:rPr lang="en-US" sz="1200" b="1">
              <a:solidFill>
                <a:schemeClr val="bg1"/>
              </a:solidFill>
              <a:latin typeface="Times New Roman" panose="02020603050405020304" pitchFamily="18" charset="0"/>
              <a:cs typeface="Times New Roman" panose="02020603050405020304" pitchFamily="18" charset="0"/>
            </a:rPr>
            <a:t>Pygame. </a:t>
          </a:r>
        </a:p>
        <a:p>
          <a:r>
            <a:rPr lang="en-US" sz="1200" b="1">
              <a:solidFill>
                <a:schemeClr val="bg1"/>
              </a:solidFill>
              <a:latin typeface="Times New Roman" panose="02020603050405020304" pitchFamily="18" charset="0"/>
              <a:cs typeface="Times New Roman" panose="02020603050405020304" pitchFamily="18" charset="0"/>
            </a:rPr>
            <a:t>Technical Skills : Data Collection , Data Processing , </a:t>
          </a:r>
        </a:p>
        <a:p>
          <a:r>
            <a:rPr lang="en-US" sz="1200" b="1">
              <a:solidFill>
                <a:schemeClr val="bg1"/>
              </a:solidFill>
              <a:latin typeface="Times New Roman" panose="02020603050405020304" pitchFamily="18" charset="0"/>
              <a:cs typeface="Times New Roman" panose="02020603050405020304" pitchFamily="18" charset="0"/>
            </a:rPr>
            <a:t>Data Visualization , Dashboard Development , Report Writing </a:t>
          </a:r>
        </a:p>
        <a:p>
          <a:r>
            <a:rPr lang="en-US" sz="1200" b="1">
              <a:solidFill>
                <a:schemeClr val="bg1"/>
              </a:solidFill>
              <a:latin typeface="Times New Roman" panose="02020603050405020304" pitchFamily="18" charset="0"/>
              <a:cs typeface="Times New Roman" panose="02020603050405020304" pitchFamily="18" charset="0"/>
            </a:rPr>
            <a:t>, Basic Software Development (Web, Mobile) </a:t>
          </a:r>
        </a:p>
        <a:p>
          <a:r>
            <a:rPr lang="en-US" sz="1200" b="1">
              <a:solidFill>
                <a:schemeClr val="bg1"/>
              </a:solidFill>
              <a:latin typeface="Times New Roman" panose="02020603050405020304" pitchFamily="18" charset="0"/>
              <a:cs typeface="Times New Roman" panose="02020603050405020304" pitchFamily="18" charset="0"/>
            </a:rPr>
            <a:t>Analytical &amp; Statistical Skills : Statistics &amp; Probability , </a:t>
          </a:r>
        </a:p>
        <a:p>
          <a:r>
            <a:rPr lang="en-US" sz="1200" b="1">
              <a:solidFill>
                <a:schemeClr val="bg1"/>
              </a:solidFill>
              <a:latin typeface="Times New Roman" panose="02020603050405020304" pitchFamily="18" charset="0"/>
              <a:cs typeface="Times New Roman" panose="02020603050405020304" pitchFamily="18" charset="0"/>
            </a:rPr>
            <a:t>Time Series Analysis , Hypothesis Testing </a:t>
          </a:r>
        </a:p>
        <a:p>
          <a:r>
            <a:rPr lang="en-US" sz="1200" b="1">
              <a:solidFill>
                <a:schemeClr val="bg1"/>
              </a:solidFill>
              <a:latin typeface="Times New Roman" panose="02020603050405020304" pitchFamily="18" charset="0"/>
              <a:cs typeface="Times New Roman" panose="02020603050405020304" pitchFamily="18" charset="0"/>
            </a:rPr>
            <a:t>Machine Learning : K-mean , linear regression , linear logistics </a:t>
          </a:r>
        </a:p>
        <a:p>
          <a:r>
            <a:rPr lang="en-US" sz="1200" b="1">
              <a:solidFill>
                <a:schemeClr val="bg1"/>
              </a:solidFill>
              <a:latin typeface="Times New Roman" panose="02020603050405020304" pitchFamily="18" charset="0"/>
              <a:cs typeface="Times New Roman" panose="02020603050405020304" pitchFamily="18" charset="0"/>
            </a:rPr>
            <a:t>, PCA , Random Forest, Decision Tree , SVC , KNN , .. </a:t>
          </a:r>
        </a:p>
        <a:p>
          <a:r>
            <a:rPr lang="en-US" sz="1200" b="1">
              <a:solidFill>
                <a:schemeClr val="bg1"/>
              </a:solidFill>
              <a:latin typeface="Times New Roman" panose="02020603050405020304" pitchFamily="18" charset="0"/>
              <a:cs typeface="Times New Roman" panose="02020603050405020304" pitchFamily="18" charset="0"/>
            </a:rPr>
            <a:t>DataBase : PostgresSQL , MySQL , SQLsever </a:t>
          </a:r>
        </a:p>
        <a:p>
          <a:r>
            <a:rPr lang="en-US" sz="1200" b="1">
              <a:solidFill>
                <a:schemeClr val="bg1"/>
              </a:solidFill>
              <a:latin typeface="Times New Roman" panose="02020603050405020304" pitchFamily="18" charset="0"/>
              <a:cs typeface="Times New Roman" panose="02020603050405020304" pitchFamily="18" charset="0"/>
            </a:rPr>
            <a:t>BI Tools : Power BI , Excel • Technologies : Git , Github , </a:t>
          </a:r>
        </a:p>
        <a:p>
          <a:r>
            <a:rPr lang="en-US" sz="1200" b="1">
              <a:solidFill>
                <a:schemeClr val="bg1"/>
              </a:solidFill>
              <a:latin typeface="Times New Roman" panose="02020603050405020304" pitchFamily="18" charset="0"/>
              <a:cs typeface="Times New Roman" panose="02020603050405020304" pitchFamily="18" charset="0"/>
            </a:rPr>
            <a:t>Linux , Docker </a:t>
          </a:r>
        </a:p>
      </xdr:txBody>
    </xdr:sp>
    <xdr:clientData/>
  </xdr:oneCellAnchor>
  <xdr:twoCellAnchor editAs="oneCell">
    <xdr:from>
      <xdr:col>19</xdr:col>
      <xdr:colOff>485775</xdr:colOff>
      <xdr:row>0</xdr:row>
      <xdr:rowOff>0</xdr:rowOff>
    </xdr:from>
    <xdr:to>
      <xdr:col>25</xdr:col>
      <xdr:colOff>419100</xdr:colOff>
      <xdr:row>18</xdr:row>
      <xdr:rowOff>161925</xdr:rowOff>
    </xdr:to>
    <xdr:pic>
      <xdr:nvPicPr>
        <xdr:cNvPr id="7" name="Picture 6">
          <a:extLst>
            <a:ext uri="{FF2B5EF4-FFF2-40B4-BE49-F238E27FC236}">
              <a16:creationId xmlns:a16="http://schemas.microsoft.com/office/drawing/2014/main" id="{46D8AAAA-49C7-4FF5-A6D6-495B83FF49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068175" y="0"/>
          <a:ext cx="3590925" cy="3590925"/>
        </a:xfrm>
        <a:prstGeom prst="rect">
          <a:avLst/>
        </a:prstGeom>
      </xdr:spPr>
    </xdr:pic>
    <xdr:clientData/>
  </xdr:twoCellAnchor>
  <xdr:twoCellAnchor>
    <xdr:from>
      <xdr:col>19</xdr:col>
      <xdr:colOff>228600</xdr:colOff>
      <xdr:row>17</xdr:row>
      <xdr:rowOff>9525</xdr:rowOff>
    </xdr:from>
    <xdr:to>
      <xdr:col>21</xdr:col>
      <xdr:colOff>276225</xdr:colOff>
      <xdr:row>23</xdr:row>
      <xdr:rowOff>85725</xdr:rowOff>
    </xdr:to>
    <xdr:sp macro="" textlink="">
      <xdr:nvSpPr>
        <xdr:cNvPr id="9" name="Rectangle: Rounded Corners 8">
          <a:hlinkClick xmlns:r="http://schemas.openxmlformats.org/officeDocument/2006/relationships" r:id="rId3"/>
          <a:extLst>
            <a:ext uri="{FF2B5EF4-FFF2-40B4-BE49-F238E27FC236}">
              <a16:creationId xmlns:a16="http://schemas.microsoft.com/office/drawing/2014/main" id="{F22C35B1-B5F1-4C7F-835A-E63F80A1B7DA}"/>
            </a:ext>
          </a:extLst>
        </xdr:cNvPr>
        <xdr:cNvSpPr/>
      </xdr:nvSpPr>
      <xdr:spPr>
        <a:xfrm>
          <a:off x="11811000" y="3248025"/>
          <a:ext cx="1266825" cy="1219200"/>
        </a:xfrm>
        <a:prstGeom prst="roundRect">
          <a:avLst/>
        </a:prstGeom>
        <a:solidFill>
          <a:schemeClr val="bg1"/>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rgbClr val="71BD44"/>
              </a:solidFill>
              <a:latin typeface="Times New Roman" panose="02020603050405020304" pitchFamily="18" charset="0"/>
              <a:cs typeface="Times New Roman" panose="02020603050405020304" pitchFamily="18" charset="0"/>
            </a:rPr>
            <a:t>Raw</a:t>
          </a:r>
        </a:p>
        <a:p>
          <a:pPr algn="ctr"/>
          <a:r>
            <a:rPr lang="en-US" sz="1800" b="1">
              <a:solidFill>
                <a:srgbClr val="71BD44"/>
              </a:solidFill>
              <a:latin typeface="Times New Roman" panose="02020603050405020304" pitchFamily="18" charset="0"/>
              <a:cs typeface="Times New Roman" panose="02020603050405020304" pitchFamily="18" charset="0"/>
            </a:rPr>
            <a:t>data</a:t>
          </a:r>
        </a:p>
      </xdr:txBody>
    </xdr:sp>
    <xdr:clientData/>
  </xdr:twoCellAnchor>
  <xdr:twoCellAnchor>
    <xdr:from>
      <xdr:col>21</xdr:col>
      <xdr:colOff>390525</xdr:colOff>
      <xdr:row>17</xdr:row>
      <xdr:rowOff>9525</xdr:rowOff>
    </xdr:from>
    <xdr:to>
      <xdr:col>23</xdr:col>
      <xdr:colOff>438150</xdr:colOff>
      <xdr:row>23</xdr:row>
      <xdr:rowOff>85725</xdr:rowOff>
    </xdr:to>
    <xdr:sp macro="" textlink="">
      <xdr:nvSpPr>
        <xdr:cNvPr id="18" name="Rectangle: Rounded Corners 17">
          <a:hlinkClick xmlns:r="http://schemas.openxmlformats.org/officeDocument/2006/relationships" r:id="rId4"/>
          <a:extLst>
            <a:ext uri="{FF2B5EF4-FFF2-40B4-BE49-F238E27FC236}">
              <a16:creationId xmlns:a16="http://schemas.microsoft.com/office/drawing/2014/main" id="{EBD98287-DC48-46AC-88FD-396EE23D8311}"/>
            </a:ext>
          </a:extLst>
        </xdr:cNvPr>
        <xdr:cNvSpPr/>
      </xdr:nvSpPr>
      <xdr:spPr>
        <a:xfrm>
          <a:off x="13192125" y="3248025"/>
          <a:ext cx="1266825" cy="1219200"/>
        </a:xfrm>
        <a:prstGeom prst="roundRect">
          <a:avLst/>
        </a:prstGeom>
        <a:solidFill>
          <a:schemeClr val="bg1"/>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800" b="1">
              <a:solidFill>
                <a:srgbClr val="71BD44"/>
              </a:solidFill>
              <a:latin typeface="Times New Roman" panose="02020603050405020304" pitchFamily="18" charset="0"/>
              <a:ea typeface="+mn-ea"/>
              <a:cs typeface="Times New Roman" panose="02020603050405020304" pitchFamily="18" charset="0"/>
            </a:rPr>
            <a:t>Clean data</a:t>
          </a:r>
        </a:p>
      </xdr:txBody>
    </xdr:sp>
    <xdr:clientData/>
  </xdr:twoCellAnchor>
  <xdr:twoCellAnchor>
    <xdr:from>
      <xdr:col>23</xdr:col>
      <xdr:colOff>571500</xdr:colOff>
      <xdr:row>17</xdr:row>
      <xdr:rowOff>9525</xdr:rowOff>
    </xdr:from>
    <xdr:to>
      <xdr:col>26</xdr:col>
      <xdr:colOff>9525</xdr:colOff>
      <xdr:row>23</xdr:row>
      <xdr:rowOff>85725</xdr:rowOff>
    </xdr:to>
    <xdr:sp macro="" textlink="">
      <xdr:nvSpPr>
        <xdr:cNvPr id="19" name="Rectangle: Rounded Corners 18">
          <a:hlinkClick xmlns:r="http://schemas.openxmlformats.org/officeDocument/2006/relationships" r:id="rId5"/>
          <a:extLst>
            <a:ext uri="{FF2B5EF4-FFF2-40B4-BE49-F238E27FC236}">
              <a16:creationId xmlns:a16="http://schemas.microsoft.com/office/drawing/2014/main" id="{91BD5771-5B90-4FEB-AD32-A4871A3C9651}"/>
            </a:ext>
          </a:extLst>
        </xdr:cNvPr>
        <xdr:cNvSpPr/>
      </xdr:nvSpPr>
      <xdr:spPr>
        <a:xfrm>
          <a:off x="14592300" y="3248025"/>
          <a:ext cx="1266825" cy="1219200"/>
        </a:xfrm>
        <a:prstGeom prst="roundRect">
          <a:avLst/>
        </a:prstGeom>
        <a:solidFill>
          <a:schemeClr val="bg1"/>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800" b="1">
              <a:solidFill>
                <a:srgbClr val="71BD44"/>
              </a:solidFill>
              <a:latin typeface="Times New Roman" panose="02020603050405020304" pitchFamily="18" charset="0"/>
              <a:ea typeface="+mn-ea"/>
              <a:cs typeface="Times New Roman" panose="02020603050405020304" pitchFamily="18" charset="0"/>
            </a:rPr>
            <a:t>Data</a:t>
          </a:r>
          <a:r>
            <a:rPr lang="en-US" sz="1800" b="1" baseline="0">
              <a:solidFill>
                <a:srgbClr val="71BD44"/>
              </a:solidFill>
              <a:latin typeface="Times New Roman" panose="02020603050405020304" pitchFamily="18" charset="0"/>
              <a:ea typeface="+mn-ea"/>
              <a:cs typeface="Times New Roman" panose="02020603050405020304" pitchFamily="18" charset="0"/>
            </a:rPr>
            <a:t> analyst</a:t>
          </a:r>
          <a:endParaRPr lang="en-US" sz="1800" b="1">
            <a:solidFill>
              <a:srgbClr val="71BD44"/>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19</xdr:col>
      <xdr:colOff>238125</xdr:colOff>
      <xdr:row>25</xdr:row>
      <xdr:rowOff>0</xdr:rowOff>
    </xdr:from>
    <xdr:to>
      <xdr:col>21</xdr:col>
      <xdr:colOff>285750</xdr:colOff>
      <xdr:row>31</xdr:row>
      <xdr:rowOff>76200</xdr:rowOff>
    </xdr:to>
    <xdr:sp macro="" textlink="">
      <xdr:nvSpPr>
        <xdr:cNvPr id="20" name="Rectangle: Rounded Corners 19">
          <a:hlinkClick xmlns:r="http://schemas.openxmlformats.org/officeDocument/2006/relationships" r:id="rId6"/>
          <a:extLst>
            <a:ext uri="{FF2B5EF4-FFF2-40B4-BE49-F238E27FC236}">
              <a16:creationId xmlns:a16="http://schemas.microsoft.com/office/drawing/2014/main" id="{2EBE74FE-2212-4810-9ED5-6746C4C58C98}"/>
            </a:ext>
          </a:extLst>
        </xdr:cNvPr>
        <xdr:cNvSpPr/>
      </xdr:nvSpPr>
      <xdr:spPr>
        <a:xfrm>
          <a:off x="11820525" y="4762500"/>
          <a:ext cx="1266825" cy="1219200"/>
        </a:xfrm>
        <a:prstGeom prst="roundRect">
          <a:avLst/>
        </a:prstGeom>
        <a:solidFill>
          <a:schemeClr val="bg1"/>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a:solidFill>
                <a:srgbClr val="71BD44"/>
              </a:solidFill>
              <a:latin typeface="Times New Roman" panose="02020603050405020304" pitchFamily="18" charset="0"/>
              <a:ea typeface="+mn-ea"/>
              <a:cs typeface="Times New Roman" panose="02020603050405020304" pitchFamily="18" charset="0"/>
            </a:rPr>
            <a:t>Dashboard</a:t>
          </a:r>
          <a:r>
            <a:rPr lang="en-US" sz="1600" b="1" baseline="0">
              <a:solidFill>
                <a:srgbClr val="71BD44"/>
              </a:solidFill>
              <a:latin typeface="Times New Roman" panose="02020603050405020304" pitchFamily="18" charset="0"/>
              <a:ea typeface="+mn-ea"/>
              <a:cs typeface="Times New Roman" panose="02020603050405020304" pitchFamily="18" charset="0"/>
            </a:rPr>
            <a:t> tab1</a:t>
          </a:r>
          <a:endParaRPr lang="en-US" sz="1600" b="1">
            <a:solidFill>
              <a:srgbClr val="71BD44"/>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21</xdr:col>
      <xdr:colOff>400050</xdr:colOff>
      <xdr:row>25</xdr:row>
      <xdr:rowOff>9525</xdr:rowOff>
    </xdr:from>
    <xdr:to>
      <xdr:col>23</xdr:col>
      <xdr:colOff>447675</xdr:colOff>
      <xdr:row>31</xdr:row>
      <xdr:rowOff>85725</xdr:rowOff>
    </xdr:to>
    <xdr:sp macro="" textlink="">
      <xdr:nvSpPr>
        <xdr:cNvPr id="21" name="Rectangle: Rounded Corners 20">
          <a:hlinkClick xmlns:r="http://schemas.openxmlformats.org/officeDocument/2006/relationships" r:id="rId7"/>
          <a:extLst>
            <a:ext uri="{FF2B5EF4-FFF2-40B4-BE49-F238E27FC236}">
              <a16:creationId xmlns:a16="http://schemas.microsoft.com/office/drawing/2014/main" id="{02A183E9-C7BF-4BF7-A5D8-B9933A276F45}"/>
            </a:ext>
          </a:extLst>
        </xdr:cNvPr>
        <xdr:cNvSpPr/>
      </xdr:nvSpPr>
      <xdr:spPr>
        <a:xfrm>
          <a:off x="13201650" y="4772025"/>
          <a:ext cx="1266825" cy="1219200"/>
        </a:xfrm>
        <a:prstGeom prst="roundRect">
          <a:avLst/>
        </a:prstGeom>
        <a:solidFill>
          <a:schemeClr val="bg1"/>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a:solidFill>
                <a:srgbClr val="71BD44"/>
              </a:solidFill>
              <a:latin typeface="Times New Roman" panose="02020603050405020304" pitchFamily="18" charset="0"/>
              <a:ea typeface="+mn-ea"/>
              <a:cs typeface="Times New Roman" panose="02020603050405020304" pitchFamily="18" charset="0"/>
            </a:rPr>
            <a:t>Dashboard</a:t>
          </a:r>
          <a:r>
            <a:rPr lang="en-US" sz="1600" b="1" baseline="0">
              <a:solidFill>
                <a:srgbClr val="71BD44"/>
              </a:solidFill>
              <a:latin typeface="Times New Roman" panose="02020603050405020304" pitchFamily="18" charset="0"/>
              <a:ea typeface="+mn-ea"/>
              <a:cs typeface="Times New Roman" panose="02020603050405020304" pitchFamily="18" charset="0"/>
            </a:rPr>
            <a:t> tab2</a:t>
          </a:r>
          <a:endParaRPr lang="en-US" sz="1600" b="1">
            <a:solidFill>
              <a:srgbClr val="71BD44"/>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23</xdr:col>
      <xdr:colOff>590550</xdr:colOff>
      <xdr:row>25</xdr:row>
      <xdr:rowOff>19050</xdr:rowOff>
    </xdr:from>
    <xdr:to>
      <xdr:col>26</xdr:col>
      <xdr:colOff>28575</xdr:colOff>
      <xdr:row>31</xdr:row>
      <xdr:rowOff>95250</xdr:rowOff>
    </xdr:to>
    <xdr:sp macro="" textlink="">
      <xdr:nvSpPr>
        <xdr:cNvPr id="22" name="Rectangle: Rounded Corners 21">
          <a:hlinkClick xmlns:r="http://schemas.openxmlformats.org/officeDocument/2006/relationships" r:id="rId8"/>
          <a:extLst>
            <a:ext uri="{FF2B5EF4-FFF2-40B4-BE49-F238E27FC236}">
              <a16:creationId xmlns:a16="http://schemas.microsoft.com/office/drawing/2014/main" id="{823BA64A-1C49-4559-84B3-590BC3C7B5B7}"/>
            </a:ext>
          </a:extLst>
        </xdr:cNvPr>
        <xdr:cNvSpPr/>
      </xdr:nvSpPr>
      <xdr:spPr>
        <a:xfrm>
          <a:off x="14611350" y="4781550"/>
          <a:ext cx="1266825" cy="1219200"/>
        </a:xfrm>
        <a:prstGeom prst="roundRect">
          <a:avLst/>
        </a:prstGeom>
        <a:solidFill>
          <a:schemeClr val="bg1"/>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a:solidFill>
                <a:srgbClr val="71BD44"/>
              </a:solidFill>
              <a:latin typeface="Times New Roman" panose="02020603050405020304" pitchFamily="18" charset="0"/>
              <a:ea typeface="+mn-ea"/>
              <a:cs typeface="Times New Roman" panose="02020603050405020304" pitchFamily="18" charset="0"/>
            </a:rPr>
            <a:t>Insights</a:t>
          </a:r>
        </a:p>
      </xdr:txBody>
    </xdr:sp>
    <xdr:clientData/>
  </xdr:twoCellAnchor>
  <xdr:oneCellAnchor>
    <xdr:from>
      <xdr:col>12</xdr:col>
      <xdr:colOff>19050</xdr:colOff>
      <xdr:row>7</xdr:row>
      <xdr:rowOff>95250</xdr:rowOff>
    </xdr:from>
    <xdr:ext cx="184731" cy="264560"/>
    <xdr:sp macro="" textlink="">
      <xdr:nvSpPr>
        <xdr:cNvPr id="10" name="TextBox 9">
          <a:extLst>
            <a:ext uri="{FF2B5EF4-FFF2-40B4-BE49-F238E27FC236}">
              <a16:creationId xmlns:a16="http://schemas.microsoft.com/office/drawing/2014/main" id="{AFDDFAC6-B8A3-453B-B7EA-A0A51F36DDEF}"/>
            </a:ext>
          </a:extLst>
        </xdr:cNvPr>
        <xdr:cNvSpPr txBox="1"/>
      </xdr:nvSpPr>
      <xdr:spPr>
        <a:xfrm>
          <a:off x="7334250" y="1428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11</xdr:col>
      <xdr:colOff>523875</xdr:colOff>
      <xdr:row>6</xdr:row>
      <xdr:rowOff>161925</xdr:rowOff>
    </xdr:from>
    <xdr:ext cx="4149213" cy="977191"/>
    <xdr:sp macro="" textlink="">
      <xdr:nvSpPr>
        <xdr:cNvPr id="11" name="TextBox 10">
          <a:extLst>
            <a:ext uri="{FF2B5EF4-FFF2-40B4-BE49-F238E27FC236}">
              <a16:creationId xmlns:a16="http://schemas.microsoft.com/office/drawing/2014/main" id="{DF3C05A2-AD12-46E4-BE61-31D50106F745}"/>
            </a:ext>
          </a:extLst>
        </xdr:cNvPr>
        <xdr:cNvSpPr txBox="1"/>
      </xdr:nvSpPr>
      <xdr:spPr>
        <a:xfrm>
          <a:off x="7229475" y="1304925"/>
          <a:ext cx="4149213" cy="9771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b="1">
              <a:solidFill>
                <a:schemeClr val="bg1"/>
              </a:solidFill>
              <a:latin typeface="Times New Roman" panose="02020603050405020304" pitchFamily="18" charset="0"/>
              <a:cs typeface="Times New Roman" panose="02020603050405020304" pitchFamily="18" charset="0"/>
            </a:rPr>
            <a:t>Mô</a:t>
          </a:r>
          <a:r>
            <a:rPr lang="en-US" sz="1200" b="1" baseline="0">
              <a:solidFill>
                <a:schemeClr val="bg1"/>
              </a:solidFill>
              <a:latin typeface="Times New Roman" panose="02020603050405020304" pitchFamily="18" charset="0"/>
              <a:cs typeface="Times New Roman" panose="02020603050405020304" pitchFamily="18" charset="0"/>
            </a:rPr>
            <a:t> tả: Dự án phân tích dữ liệu doanh số bán hàng của công </a:t>
          </a:r>
        </a:p>
        <a:p>
          <a:r>
            <a:rPr lang="en-US" sz="1200" b="1" baseline="0">
              <a:solidFill>
                <a:schemeClr val="bg1"/>
              </a:solidFill>
              <a:latin typeface="Times New Roman" panose="02020603050405020304" pitchFamily="18" charset="0"/>
              <a:cs typeface="Times New Roman" panose="02020603050405020304" pitchFamily="18" charset="0"/>
            </a:rPr>
            <a:t>ty dược phẩm Pharmacity được thực hiện trên tập dữ liệu </a:t>
          </a:r>
        </a:p>
        <a:p>
          <a:r>
            <a:rPr lang="en-US" sz="1200" b="1" baseline="0">
              <a:solidFill>
                <a:schemeClr val="bg1"/>
              </a:solidFill>
              <a:latin typeface="Times New Roman" panose="02020603050405020304" pitchFamily="18" charset="0"/>
              <a:cs typeface="Times New Roman" panose="02020603050405020304" pitchFamily="18" charset="0"/>
            </a:rPr>
            <a:t>Pharmacity.csv thu thập trong năm 2022, dự án được thực </a:t>
          </a:r>
        </a:p>
        <a:p>
          <a:r>
            <a:rPr lang="en-US" sz="1200" b="1" baseline="0">
              <a:solidFill>
                <a:schemeClr val="bg1"/>
              </a:solidFill>
              <a:latin typeface="Times New Roman" panose="02020603050405020304" pitchFamily="18" charset="0"/>
              <a:cs typeface="Times New Roman" panose="02020603050405020304" pitchFamily="18" charset="0"/>
            </a:rPr>
            <a:t>đầy đủ quy trình của 1 dự án Da từ các bước xử lý dữ liệu </a:t>
          </a:r>
        </a:p>
        <a:p>
          <a:r>
            <a:rPr lang="en-US" sz="1200" b="1" baseline="0">
              <a:solidFill>
                <a:schemeClr val="bg1"/>
              </a:solidFill>
              <a:latin typeface="Times New Roman" panose="02020603050405020304" pitchFamily="18" charset="0"/>
              <a:cs typeface="Times New Roman" panose="02020603050405020304" pitchFamily="18" charset="0"/>
            </a:rPr>
            <a:t>đến xây dựng dashboard tương tác động</a:t>
          </a:r>
          <a:endParaRPr lang="en-US" sz="1200" b="1">
            <a:solidFill>
              <a:schemeClr val="bg1"/>
            </a:solidFill>
            <a:latin typeface="Times New Roman" panose="02020603050405020304" pitchFamily="18" charset="0"/>
            <a:cs typeface="Times New Roman" panose="02020603050405020304" pitchFamily="18" charset="0"/>
          </a:endParaRPr>
        </a:p>
      </xdr:txBody>
    </xdr:sp>
    <xdr:clientData/>
  </xdr:oneCellAnchor>
  <xdr:oneCellAnchor>
    <xdr:from>
      <xdr:col>11</xdr:col>
      <xdr:colOff>590550</xdr:colOff>
      <xdr:row>13</xdr:row>
      <xdr:rowOff>180975</xdr:rowOff>
    </xdr:from>
    <xdr:ext cx="4115807" cy="2363468"/>
    <xdr:sp macro="" textlink="">
      <xdr:nvSpPr>
        <xdr:cNvPr id="17" name="TextBox 16">
          <a:extLst>
            <a:ext uri="{FF2B5EF4-FFF2-40B4-BE49-F238E27FC236}">
              <a16:creationId xmlns:a16="http://schemas.microsoft.com/office/drawing/2014/main" id="{E3A3CB46-D202-456B-B31D-BE4C6000B7B4}"/>
            </a:ext>
          </a:extLst>
        </xdr:cNvPr>
        <xdr:cNvSpPr txBox="1"/>
      </xdr:nvSpPr>
      <xdr:spPr>
        <a:xfrm>
          <a:off x="7296150" y="2657475"/>
          <a:ext cx="4115807" cy="23634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solidFill>
                <a:schemeClr val="bg1"/>
              </a:solidFill>
              <a:latin typeface="Times New Roman" panose="02020603050405020304" pitchFamily="18" charset="0"/>
              <a:cs typeface="Times New Roman" panose="02020603050405020304" pitchFamily="18" charset="0"/>
            </a:rPr>
            <a:t>B1:</a:t>
          </a:r>
          <a:r>
            <a:rPr lang="vi-VN" sz="1400" b="1">
              <a:solidFill>
                <a:schemeClr val="bg1"/>
              </a:solidFill>
              <a:latin typeface="Times New Roman" panose="02020603050405020304" pitchFamily="18" charset="0"/>
              <a:cs typeface="Times New Roman" panose="02020603050405020304" pitchFamily="18" charset="0"/>
            </a:rPr>
            <a:t>Thu thập dữ liệu</a:t>
          </a:r>
          <a:r>
            <a:rPr lang="en-US" sz="1400" b="1" baseline="0">
              <a:solidFill>
                <a:schemeClr val="bg1"/>
              </a:solidFill>
              <a:latin typeface="Times New Roman" panose="02020603050405020304" pitchFamily="18" charset="0"/>
              <a:cs typeface="Times New Roman" panose="02020603050405020304" pitchFamily="18" charset="0"/>
            </a:rPr>
            <a:t> </a:t>
          </a:r>
          <a:r>
            <a:rPr lang="vi-VN" sz="1400" b="1">
              <a:solidFill>
                <a:schemeClr val="bg1"/>
              </a:solidFill>
              <a:latin typeface="Times New Roman" panose="02020603050405020304" pitchFamily="18" charset="0"/>
              <a:cs typeface="Times New Roman" panose="02020603050405020304" pitchFamily="18" charset="0"/>
            </a:rPr>
            <a:t>(Sheet: Raw_data) </a:t>
          </a:r>
          <a:endParaRPr lang="en-US" sz="1400" b="1">
            <a:solidFill>
              <a:schemeClr val="bg1"/>
            </a:solidFill>
            <a:latin typeface="Times New Roman" panose="02020603050405020304" pitchFamily="18" charset="0"/>
            <a:cs typeface="Times New Roman" panose="02020603050405020304" pitchFamily="18" charset="0"/>
          </a:endParaRPr>
        </a:p>
        <a:p>
          <a:endParaRPr lang="en-US" sz="1400" b="1">
            <a:solidFill>
              <a:schemeClr val="bg1"/>
            </a:solidFill>
            <a:latin typeface="Times New Roman" panose="02020603050405020304" pitchFamily="18" charset="0"/>
            <a:cs typeface="Times New Roman" panose="02020603050405020304" pitchFamily="18" charset="0"/>
          </a:endParaRPr>
        </a:p>
        <a:p>
          <a:r>
            <a:rPr lang="en-US" sz="1400" b="1">
              <a:solidFill>
                <a:schemeClr val="bg1"/>
              </a:solidFill>
              <a:latin typeface="Times New Roman" panose="02020603050405020304" pitchFamily="18" charset="0"/>
              <a:cs typeface="Times New Roman" panose="02020603050405020304" pitchFamily="18" charset="0"/>
            </a:rPr>
            <a:t>B2: </a:t>
          </a:r>
          <a:r>
            <a:rPr lang="vi-VN" sz="1400" b="1">
              <a:solidFill>
                <a:schemeClr val="bg1"/>
              </a:solidFill>
              <a:latin typeface="Times New Roman" panose="02020603050405020304" pitchFamily="18" charset="0"/>
              <a:cs typeface="Times New Roman" panose="02020603050405020304" pitchFamily="18" charset="0"/>
            </a:rPr>
            <a:t>Xử lý dữ liệu</a:t>
          </a:r>
          <a:r>
            <a:rPr lang="en-US" sz="1400" b="1" baseline="0">
              <a:solidFill>
                <a:schemeClr val="bg1"/>
              </a:solidFill>
              <a:latin typeface="Times New Roman" panose="02020603050405020304" pitchFamily="18" charset="0"/>
              <a:cs typeface="Times New Roman" panose="02020603050405020304" pitchFamily="18" charset="0"/>
            </a:rPr>
            <a:t> </a:t>
          </a:r>
          <a:r>
            <a:rPr lang="vi-VN" sz="1400" b="1">
              <a:solidFill>
                <a:schemeClr val="bg1"/>
              </a:solidFill>
              <a:latin typeface="Times New Roman" panose="02020603050405020304" pitchFamily="18" charset="0"/>
              <a:cs typeface="Times New Roman" panose="02020603050405020304" pitchFamily="18" charset="0"/>
            </a:rPr>
            <a:t>(Sheet: Cleaning_data) </a:t>
          </a:r>
          <a:endParaRPr lang="en-US" sz="1400" b="1">
            <a:solidFill>
              <a:schemeClr val="bg1"/>
            </a:solidFill>
            <a:latin typeface="Times New Roman" panose="02020603050405020304" pitchFamily="18" charset="0"/>
            <a:cs typeface="Times New Roman" panose="02020603050405020304" pitchFamily="18" charset="0"/>
          </a:endParaRPr>
        </a:p>
        <a:p>
          <a:endParaRPr lang="en-US" sz="1400" b="1">
            <a:solidFill>
              <a:schemeClr val="bg1"/>
            </a:solidFill>
            <a:latin typeface="Times New Roman" panose="02020603050405020304" pitchFamily="18" charset="0"/>
            <a:cs typeface="Times New Roman" panose="02020603050405020304" pitchFamily="18" charset="0"/>
          </a:endParaRPr>
        </a:p>
        <a:p>
          <a:r>
            <a:rPr lang="en-US" sz="1400" b="1">
              <a:solidFill>
                <a:schemeClr val="bg1"/>
              </a:solidFill>
              <a:latin typeface="Times New Roman" panose="02020603050405020304" pitchFamily="18" charset="0"/>
              <a:cs typeface="Times New Roman" panose="02020603050405020304" pitchFamily="18" charset="0"/>
            </a:rPr>
            <a:t>B3: </a:t>
          </a:r>
          <a:r>
            <a:rPr lang="vi-VN" sz="1400" b="1">
              <a:solidFill>
                <a:schemeClr val="bg1"/>
              </a:solidFill>
              <a:latin typeface="Times New Roman" panose="02020603050405020304" pitchFamily="18" charset="0"/>
              <a:cs typeface="Times New Roman" panose="02020603050405020304" pitchFamily="18" charset="0"/>
            </a:rPr>
            <a:t>Phân tích dữ liệu</a:t>
          </a:r>
          <a:r>
            <a:rPr lang="en-US" sz="1400" b="1" baseline="0">
              <a:solidFill>
                <a:schemeClr val="bg1"/>
              </a:solidFill>
              <a:latin typeface="Times New Roman" panose="02020603050405020304" pitchFamily="18" charset="0"/>
              <a:cs typeface="Times New Roman" panose="02020603050405020304" pitchFamily="18" charset="0"/>
            </a:rPr>
            <a:t> </a:t>
          </a:r>
          <a:r>
            <a:rPr lang="vi-VN" sz="1400" b="1">
              <a:solidFill>
                <a:schemeClr val="bg1"/>
              </a:solidFill>
              <a:latin typeface="Times New Roman" panose="02020603050405020304" pitchFamily="18" charset="0"/>
              <a:cs typeface="Times New Roman" panose="02020603050405020304" pitchFamily="18" charset="0"/>
            </a:rPr>
            <a:t>(Sheet: Data_analysis) </a:t>
          </a:r>
          <a:endParaRPr lang="en-US" sz="1400" b="1">
            <a:solidFill>
              <a:schemeClr val="bg1"/>
            </a:solidFill>
            <a:latin typeface="Times New Roman" panose="02020603050405020304" pitchFamily="18" charset="0"/>
            <a:cs typeface="Times New Roman" panose="02020603050405020304" pitchFamily="18" charset="0"/>
          </a:endParaRPr>
        </a:p>
        <a:p>
          <a:endParaRPr lang="en-US" sz="1400" b="1">
            <a:solidFill>
              <a:schemeClr val="bg1"/>
            </a:solidFill>
            <a:latin typeface="Times New Roman" panose="02020603050405020304" pitchFamily="18" charset="0"/>
            <a:cs typeface="Times New Roman" panose="02020603050405020304" pitchFamily="18" charset="0"/>
          </a:endParaRPr>
        </a:p>
        <a:p>
          <a:r>
            <a:rPr lang="en-US" sz="1400" b="1">
              <a:solidFill>
                <a:schemeClr val="bg1"/>
              </a:solidFill>
              <a:latin typeface="Times New Roman" panose="02020603050405020304" pitchFamily="18" charset="0"/>
              <a:cs typeface="Times New Roman" panose="02020603050405020304" pitchFamily="18" charset="0"/>
            </a:rPr>
            <a:t>B4: </a:t>
          </a:r>
          <a:r>
            <a:rPr lang="vi-VN" sz="1400" b="1">
              <a:solidFill>
                <a:schemeClr val="bg1"/>
              </a:solidFill>
              <a:latin typeface="Times New Roman" panose="02020603050405020304" pitchFamily="18" charset="0"/>
              <a:cs typeface="Times New Roman" panose="02020603050405020304" pitchFamily="18" charset="0"/>
            </a:rPr>
            <a:t>Xây dựng dashboard tương tác theo dõi doanh </a:t>
          </a:r>
          <a:endParaRPr lang="en-US" sz="1400" b="1">
            <a:solidFill>
              <a:schemeClr val="bg1"/>
            </a:solidFill>
            <a:latin typeface="Times New Roman" panose="02020603050405020304" pitchFamily="18" charset="0"/>
            <a:cs typeface="Times New Roman" panose="02020603050405020304" pitchFamily="18" charset="0"/>
          </a:endParaRPr>
        </a:p>
        <a:p>
          <a:r>
            <a:rPr lang="vi-VN" sz="1400" b="1">
              <a:solidFill>
                <a:schemeClr val="bg1"/>
              </a:solidFill>
              <a:latin typeface="Times New Roman" panose="02020603050405020304" pitchFamily="18" charset="0"/>
              <a:cs typeface="Times New Roman" panose="02020603050405020304" pitchFamily="18" charset="0"/>
            </a:rPr>
            <a:t>thu</a:t>
          </a:r>
          <a:r>
            <a:rPr lang="en-US" sz="1400" b="1" baseline="0">
              <a:solidFill>
                <a:schemeClr val="bg1"/>
              </a:solidFill>
              <a:latin typeface="Times New Roman" panose="02020603050405020304" pitchFamily="18" charset="0"/>
              <a:cs typeface="Times New Roman" panose="02020603050405020304" pitchFamily="18" charset="0"/>
            </a:rPr>
            <a:t> </a:t>
          </a:r>
          <a:r>
            <a:rPr lang="vi-VN" sz="1400" b="1">
              <a:solidFill>
                <a:schemeClr val="bg1"/>
              </a:solidFill>
              <a:latin typeface="Times New Roman" panose="02020603050405020304" pitchFamily="18" charset="0"/>
              <a:cs typeface="Times New Roman" panose="02020603050405020304" pitchFamily="18" charset="0"/>
            </a:rPr>
            <a:t>(Sheet: Dashboard 1 và 2) </a:t>
          </a:r>
          <a:endParaRPr lang="en-US" sz="1400" b="1">
            <a:solidFill>
              <a:schemeClr val="bg1"/>
            </a:solidFill>
            <a:latin typeface="Times New Roman" panose="02020603050405020304" pitchFamily="18" charset="0"/>
            <a:cs typeface="Times New Roman" panose="02020603050405020304" pitchFamily="18" charset="0"/>
          </a:endParaRPr>
        </a:p>
        <a:p>
          <a:endParaRPr lang="en-US" sz="1400" b="1">
            <a:solidFill>
              <a:schemeClr val="bg1"/>
            </a:solidFill>
            <a:latin typeface="Times New Roman" panose="02020603050405020304" pitchFamily="18" charset="0"/>
            <a:cs typeface="Times New Roman" panose="02020603050405020304" pitchFamily="18" charset="0"/>
          </a:endParaRPr>
        </a:p>
        <a:p>
          <a:r>
            <a:rPr lang="en-US" sz="1400" b="1">
              <a:solidFill>
                <a:schemeClr val="bg1"/>
              </a:solidFill>
              <a:latin typeface="Times New Roman" panose="02020603050405020304" pitchFamily="18" charset="0"/>
              <a:cs typeface="Times New Roman" panose="02020603050405020304" pitchFamily="18" charset="0"/>
            </a:rPr>
            <a:t>B5:</a:t>
          </a:r>
          <a:r>
            <a:rPr lang="en-US" sz="1400" b="1" baseline="0">
              <a:solidFill>
                <a:schemeClr val="bg1"/>
              </a:solidFill>
              <a:latin typeface="Times New Roman" panose="02020603050405020304" pitchFamily="18" charset="0"/>
              <a:cs typeface="Times New Roman" panose="02020603050405020304" pitchFamily="18" charset="0"/>
            </a:rPr>
            <a:t> </a:t>
          </a:r>
          <a:r>
            <a:rPr lang="vi-VN" sz="1400" b="1">
              <a:solidFill>
                <a:schemeClr val="bg1"/>
              </a:solidFill>
              <a:latin typeface="Times New Roman" panose="02020603050405020304" pitchFamily="18" charset="0"/>
              <a:cs typeface="Times New Roman" panose="02020603050405020304" pitchFamily="18" charset="0"/>
            </a:rPr>
            <a:t>Rút ra insight và đưa ra recommendations</a:t>
          </a:r>
          <a:br>
            <a:rPr lang="vi-VN" sz="1400" b="1">
              <a:solidFill>
                <a:schemeClr val="bg1"/>
              </a:solidFill>
              <a:latin typeface="Times New Roman" panose="02020603050405020304" pitchFamily="18" charset="0"/>
              <a:cs typeface="Times New Roman" panose="02020603050405020304" pitchFamily="18" charset="0"/>
            </a:rPr>
          </a:br>
          <a:r>
            <a:rPr lang="vi-VN" sz="1400" b="1">
              <a:solidFill>
                <a:schemeClr val="bg1"/>
              </a:solidFill>
              <a:latin typeface="Times New Roman" panose="02020603050405020304" pitchFamily="18" charset="0"/>
              <a:cs typeface="Times New Roman" panose="02020603050405020304" pitchFamily="18" charset="0"/>
            </a:rPr>
            <a:t>(Sheet: Insights_and_Recommendations)</a:t>
          </a:r>
          <a:endParaRPr lang="en-US" sz="1400" b="1">
            <a:solidFill>
              <a:schemeClr val="bg1"/>
            </a:solidFill>
            <a:latin typeface="Times New Roman" panose="02020603050405020304" pitchFamily="18" charset="0"/>
            <a:cs typeface="Times New Roman" panose="02020603050405020304" pitchFamily="18" charset="0"/>
          </a:endParaRPr>
        </a:p>
      </xdr:txBody>
    </xdr:sp>
    <xdr:clientData/>
  </xdr:oneCellAnchor>
  <xdr:oneCellAnchor>
    <xdr:from>
      <xdr:col>11</xdr:col>
      <xdr:colOff>514350</xdr:colOff>
      <xdr:row>29</xdr:row>
      <xdr:rowOff>57150</xdr:rowOff>
    </xdr:from>
    <xdr:ext cx="4103367" cy="1247775"/>
    <xdr:sp macro="" textlink="">
      <xdr:nvSpPr>
        <xdr:cNvPr id="23" name="TextBox 22">
          <a:extLst>
            <a:ext uri="{FF2B5EF4-FFF2-40B4-BE49-F238E27FC236}">
              <a16:creationId xmlns:a16="http://schemas.microsoft.com/office/drawing/2014/main" id="{700246E4-2B6E-41E5-B93B-EB9EBD4A5800}"/>
            </a:ext>
          </a:extLst>
        </xdr:cNvPr>
        <xdr:cNvSpPr txBox="1"/>
      </xdr:nvSpPr>
      <xdr:spPr>
        <a:xfrm>
          <a:off x="7219950" y="5581650"/>
          <a:ext cx="4103367" cy="12477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200" b="1">
              <a:solidFill>
                <a:schemeClr val="bg1"/>
              </a:solidFill>
              <a:latin typeface="Times New Roman" panose="02020603050405020304" pitchFamily="18" charset="0"/>
              <a:cs typeface="Times New Roman" panose="02020603050405020304" pitchFamily="18" charset="0"/>
            </a:rPr>
            <a:t>Mục</a:t>
          </a:r>
          <a:r>
            <a:rPr lang="en-US" sz="1200" b="1" baseline="0">
              <a:solidFill>
                <a:schemeClr val="bg1"/>
              </a:solidFill>
              <a:latin typeface="Times New Roman" panose="02020603050405020304" pitchFamily="18" charset="0"/>
              <a:cs typeface="Times New Roman" panose="02020603050405020304" pitchFamily="18" charset="0"/>
            </a:rPr>
            <a:t> tiêu: Mục tiêu dự án tạo ra 1 sản phẩm để các CEO, </a:t>
          </a:r>
        </a:p>
        <a:p>
          <a:r>
            <a:rPr lang="en-US" sz="1200" b="1" baseline="0">
              <a:solidFill>
                <a:schemeClr val="bg1"/>
              </a:solidFill>
              <a:latin typeface="Times New Roman" panose="02020603050405020304" pitchFamily="18" charset="0"/>
              <a:cs typeface="Times New Roman" panose="02020603050405020304" pitchFamily="18" charset="0"/>
            </a:rPr>
            <a:t>quản lý, trưởng phòng có thể theo dõi tốt tình hình kinh </a:t>
          </a:r>
        </a:p>
        <a:p>
          <a:r>
            <a:rPr lang="en-US" sz="1200" b="1" baseline="0">
              <a:solidFill>
                <a:schemeClr val="bg1"/>
              </a:solidFill>
              <a:latin typeface="Times New Roman" panose="02020603050405020304" pitchFamily="18" charset="0"/>
              <a:cs typeface="Times New Roman" panose="02020603050405020304" pitchFamily="18" charset="0"/>
            </a:rPr>
            <a:t>doanh của doanh nghiệp theo thời gian thực và một số điểm</a:t>
          </a:r>
        </a:p>
        <a:p>
          <a:r>
            <a:rPr lang="en-US" sz="1200" b="1" baseline="0">
              <a:solidFill>
                <a:schemeClr val="bg1"/>
              </a:solidFill>
              <a:latin typeface="Times New Roman" panose="02020603050405020304" pitchFamily="18" charset="0"/>
              <a:cs typeface="Times New Roman" panose="02020603050405020304" pitchFamily="18" charset="0"/>
            </a:rPr>
            <a:t>insight cần lưu ý cải thiện</a:t>
          </a:r>
          <a:endParaRPr lang="en-US" sz="1200" b="1">
            <a:solidFill>
              <a:schemeClr val="bg1"/>
            </a:solidFill>
            <a:latin typeface="Times New Roman" panose="02020603050405020304" pitchFamily="18" charset="0"/>
            <a:cs typeface="Times New Roman" panose="02020603050405020304" pitchFamily="18" charset="0"/>
          </a:endParaRP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2</xdr:col>
      <xdr:colOff>361949</xdr:colOff>
      <xdr:row>1</xdr:row>
      <xdr:rowOff>0</xdr:rowOff>
    </xdr:from>
    <xdr:to>
      <xdr:col>27</xdr:col>
      <xdr:colOff>236981</xdr:colOff>
      <xdr:row>36</xdr:row>
      <xdr:rowOff>172212</xdr:rowOff>
    </xdr:to>
    <xdr:sp macro="" textlink="">
      <xdr:nvSpPr>
        <xdr:cNvPr id="2" name="Rectangle 1">
          <a:extLst>
            <a:ext uri="{FF2B5EF4-FFF2-40B4-BE49-F238E27FC236}">
              <a16:creationId xmlns:a16="http://schemas.microsoft.com/office/drawing/2014/main" id="{26BA1641-067D-46A2-B848-53FCB0AA178D}"/>
            </a:ext>
          </a:extLst>
        </xdr:cNvPr>
        <xdr:cNvSpPr/>
      </xdr:nvSpPr>
      <xdr:spPr>
        <a:xfrm>
          <a:off x="1581149" y="190500"/>
          <a:ext cx="15115032" cy="6839712"/>
        </a:xfrm>
        <a:prstGeom prst="rect">
          <a:avLst/>
        </a:prstGeom>
        <a:solidFill>
          <a:srgbClr val="71BD44"/>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a:p>
          <a:pPr algn="l"/>
          <a:endParaRPr lang="en-US" sz="1100"/>
        </a:p>
      </xdr:txBody>
    </xdr:sp>
    <xdr:clientData/>
  </xdr:twoCellAnchor>
  <xdr:twoCellAnchor>
    <xdr:from>
      <xdr:col>2</xdr:col>
      <xdr:colOff>466725</xdr:colOff>
      <xdr:row>1</xdr:row>
      <xdr:rowOff>85725</xdr:rowOff>
    </xdr:from>
    <xdr:to>
      <xdr:col>5</xdr:col>
      <xdr:colOff>533400</xdr:colOff>
      <xdr:row>36</xdr:row>
      <xdr:rowOff>85725</xdr:rowOff>
    </xdr:to>
    <xdr:sp macro="" textlink="">
      <xdr:nvSpPr>
        <xdr:cNvPr id="3" name="Rectangle: Rounded Corners 2">
          <a:extLst>
            <a:ext uri="{FF2B5EF4-FFF2-40B4-BE49-F238E27FC236}">
              <a16:creationId xmlns:a16="http://schemas.microsoft.com/office/drawing/2014/main" id="{48AF2E8E-2CA7-4606-8317-4E217FC51FC7}"/>
            </a:ext>
          </a:extLst>
        </xdr:cNvPr>
        <xdr:cNvSpPr/>
      </xdr:nvSpPr>
      <xdr:spPr>
        <a:xfrm>
          <a:off x="1685925" y="276225"/>
          <a:ext cx="1895475" cy="6667500"/>
        </a:xfrm>
        <a:prstGeom prst="roundRect">
          <a:avLst/>
        </a:prstGeom>
        <a:solidFill>
          <a:sysClr val="window" lastClr="FFFFFF"/>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6</xdr:col>
      <xdr:colOff>95250</xdr:colOff>
      <xdr:row>2</xdr:row>
      <xdr:rowOff>0</xdr:rowOff>
    </xdr:from>
    <xdr:ext cx="7366312" cy="357790"/>
    <xdr:sp macro="" textlink="">
      <xdr:nvSpPr>
        <xdr:cNvPr id="4" name="TextBox 3">
          <a:extLst>
            <a:ext uri="{FF2B5EF4-FFF2-40B4-BE49-F238E27FC236}">
              <a16:creationId xmlns:a16="http://schemas.microsoft.com/office/drawing/2014/main" id="{A077DC77-943B-443D-A5A6-CBB3DAD97A40}"/>
            </a:ext>
          </a:extLst>
        </xdr:cNvPr>
        <xdr:cNvSpPr txBox="1"/>
      </xdr:nvSpPr>
      <xdr:spPr>
        <a:xfrm>
          <a:off x="3752850" y="381000"/>
          <a:ext cx="7366312" cy="357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latin typeface="Times New Roman" panose="02020603050405020304" pitchFamily="18" charset="0"/>
              <a:cs typeface="Times New Roman" panose="02020603050405020304" pitchFamily="18" charset="0"/>
            </a:rPr>
            <a:t>BÁO</a:t>
          </a:r>
          <a:r>
            <a:rPr lang="en-US" sz="1800" b="1" baseline="0">
              <a:solidFill>
                <a:schemeClr val="bg1"/>
              </a:solidFill>
              <a:latin typeface="Times New Roman" panose="02020603050405020304" pitchFamily="18" charset="0"/>
              <a:cs typeface="Times New Roman" panose="02020603050405020304" pitchFamily="18" charset="0"/>
            </a:rPr>
            <a:t> CÁO DOANH SỐ PHARMACITY THEO QUỐC GIA NĂM 2022</a:t>
          </a:r>
          <a:endParaRPr lang="en-US" sz="1800" b="1">
            <a:solidFill>
              <a:schemeClr val="bg1"/>
            </a:solidFill>
            <a:latin typeface="Times New Roman" panose="02020603050405020304" pitchFamily="18" charset="0"/>
            <a:cs typeface="Times New Roman" panose="02020603050405020304" pitchFamily="18" charset="0"/>
          </a:endParaRPr>
        </a:p>
      </xdr:txBody>
    </xdr:sp>
    <xdr:clientData/>
  </xdr:oneCellAnchor>
  <xdr:oneCellAnchor>
    <xdr:from>
      <xdr:col>18</xdr:col>
      <xdr:colOff>133350</xdr:colOff>
      <xdr:row>2</xdr:row>
      <xdr:rowOff>47625</xdr:rowOff>
    </xdr:from>
    <xdr:ext cx="847027" cy="254493"/>
    <xdr:sp macro="" textlink="">
      <xdr:nvSpPr>
        <xdr:cNvPr id="5" name="TextBox 4">
          <a:extLst>
            <a:ext uri="{FF2B5EF4-FFF2-40B4-BE49-F238E27FC236}">
              <a16:creationId xmlns:a16="http://schemas.microsoft.com/office/drawing/2014/main" id="{75AF0E49-1EB7-4114-9632-B7D69A82A1E2}"/>
            </a:ext>
          </a:extLst>
        </xdr:cNvPr>
        <xdr:cNvSpPr txBox="1"/>
      </xdr:nvSpPr>
      <xdr:spPr>
        <a:xfrm>
          <a:off x="11106150" y="428625"/>
          <a:ext cx="84702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chemeClr val="bg1"/>
              </a:solidFill>
              <a:latin typeface="Times New Roman" panose="02020603050405020304" pitchFamily="18" charset="0"/>
              <a:cs typeface="Times New Roman" panose="02020603050405020304" pitchFamily="18" charset="0"/>
            </a:rPr>
            <a:t>ĐVT:</a:t>
          </a:r>
          <a:r>
            <a:rPr lang="en-US" sz="1100" b="1" baseline="0">
              <a:solidFill>
                <a:schemeClr val="bg1"/>
              </a:solidFill>
              <a:latin typeface="Times New Roman" panose="02020603050405020304" pitchFamily="18" charset="0"/>
              <a:cs typeface="Times New Roman" panose="02020603050405020304" pitchFamily="18" charset="0"/>
            </a:rPr>
            <a:t> USD</a:t>
          </a:r>
          <a:endParaRPr lang="en-US" sz="1100" b="1">
            <a:solidFill>
              <a:schemeClr val="bg1"/>
            </a:solidFill>
            <a:latin typeface="Times New Roman" panose="02020603050405020304" pitchFamily="18" charset="0"/>
            <a:cs typeface="Times New Roman" panose="02020603050405020304" pitchFamily="18" charset="0"/>
          </a:endParaRPr>
        </a:p>
      </xdr:txBody>
    </xdr:sp>
    <xdr:clientData/>
  </xdr:oneCellAnchor>
  <xdr:twoCellAnchor>
    <xdr:from>
      <xdr:col>7</xdr:col>
      <xdr:colOff>0</xdr:colOff>
      <xdr:row>4</xdr:row>
      <xdr:rowOff>104775</xdr:rowOff>
    </xdr:from>
    <xdr:to>
      <xdr:col>10</xdr:col>
      <xdr:colOff>85725</xdr:colOff>
      <xdr:row>11</xdr:row>
      <xdr:rowOff>9525</xdr:rowOff>
    </xdr:to>
    <xdr:grpSp>
      <xdr:nvGrpSpPr>
        <xdr:cNvPr id="13" name="Group 12">
          <a:extLst>
            <a:ext uri="{FF2B5EF4-FFF2-40B4-BE49-F238E27FC236}">
              <a16:creationId xmlns:a16="http://schemas.microsoft.com/office/drawing/2014/main" id="{ED44EAED-F620-40A0-8D33-0BC5117A8183}"/>
            </a:ext>
          </a:extLst>
        </xdr:cNvPr>
        <xdr:cNvGrpSpPr/>
      </xdr:nvGrpSpPr>
      <xdr:grpSpPr>
        <a:xfrm>
          <a:off x="4267200" y="866775"/>
          <a:ext cx="1914525" cy="1238250"/>
          <a:chOff x="3876675" y="866775"/>
          <a:chExt cx="1914525" cy="1238250"/>
        </a:xfrm>
      </xdr:grpSpPr>
      <xdr:sp macro="" textlink="">
        <xdr:nvSpPr>
          <xdr:cNvPr id="6" name="Rectangle: Rounded Corners 5">
            <a:extLst>
              <a:ext uri="{FF2B5EF4-FFF2-40B4-BE49-F238E27FC236}">
                <a16:creationId xmlns:a16="http://schemas.microsoft.com/office/drawing/2014/main" id="{FCE22685-C46D-41D1-81EA-26E9D69360D0}"/>
              </a:ext>
            </a:extLst>
          </xdr:cNvPr>
          <xdr:cNvSpPr/>
        </xdr:nvSpPr>
        <xdr:spPr>
          <a:xfrm>
            <a:off x="3876675" y="866775"/>
            <a:ext cx="1914525" cy="1238250"/>
          </a:xfrm>
          <a:prstGeom prst="roundRect">
            <a:avLst/>
          </a:prstGeom>
          <a:solidFill>
            <a:schemeClr val="bg1"/>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rgbClr val="71BD44"/>
                </a:solidFill>
                <a:latin typeface="Times New Roman" panose="02020603050405020304" pitchFamily="18" charset="0"/>
                <a:cs typeface="Times New Roman" panose="02020603050405020304" pitchFamily="18" charset="0"/>
              </a:rPr>
              <a:t>Tổng</a:t>
            </a:r>
            <a:r>
              <a:rPr lang="en-US" sz="1400" b="1" baseline="0">
                <a:solidFill>
                  <a:srgbClr val="71BD44"/>
                </a:solidFill>
                <a:latin typeface="Times New Roman" panose="02020603050405020304" pitchFamily="18" charset="0"/>
                <a:cs typeface="Times New Roman" panose="02020603050405020304" pitchFamily="18" charset="0"/>
              </a:rPr>
              <a:t> Doanh Thu</a:t>
            </a:r>
            <a:endParaRPr lang="en-US" sz="1400" b="1">
              <a:solidFill>
                <a:srgbClr val="71BD44"/>
              </a:solidFill>
              <a:latin typeface="Times New Roman" panose="02020603050405020304" pitchFamily="18" charset="0"/>
              <a:cs typeface="Times New Roman" panose="02020603050405020304" pitchFamily="18" charset="0"/>
            </a:endParaRPr>
          </a:p>
        </xdr:txBody>
      </xdr:sp>
      <xdr:sp macro="" textlink="Data_analysis!Q4">
        <xdr:nvSpPr>
          <xdr:cNvPr id="21" name="TextBox 20">
            <a:extLst>
              <a:ext uri="{FF2B5EF4-FFF2-40B4-BE49-F238E27FC236}">
                <a16:creationId xmlns:a16="http://schemas.microsoft.com/office/drawing/2014/main" id="{92D7CFB5-CB0A-4E9E-B5D0-A822F8ABDE23}"/>
              </a:ext>
            </a:extLst>
          </xdr:cNvPr>
          <xdr:cNvSpPr txBox="1"/>
        </xdr:nvSpPr>
        <xdr:spPr>
          <a:xfrm>
            <a:off x="4267199" y="1257299"/>
            <a:ext cx="1143001" cy="4476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5D82E562-D6A6-4659-AFF4-9E23297255AA}" type="TxLink">
              <a:rPr lang="en-US" sz="2000" b="1" i="0" u="none" strike="noStrike">
                <a:solidFill>
                  <a:srgbClr val="71BD44"/>
                </a:solidFill>
                <a:latin typeface="Times New Roman" panose="02020603050405020304" pitchFamily="18" charset="0"/>
                <a:ea typeface="Calibri"/>
                <a:cs typeface="Times New Roman" panose="02020603050405020304" pitchFamily="18" charset="0"/>
              </a:rPr>
              <a:pPr/>
              <a:t>58929.29</a:t>
            </a:fld>
            <a:endParaRPr lang="en-US" sz="2000" b="1">
              <a:solidFill>
                <a:srgbClr val="71BD44"/>
              </a:solidFill>
              <a:latin typeface="Times New Roman" panose="02020603050405020304" pitchFamily="18" charset="0"/>
              <a:cs typeface="Times New Roman" panose="02020603050405020304" pitchFamily="18" charset="0"/>
            </a:endParaRPr>
          </a:p>
        </xdr:txBody>
      </xdr:sp>
      <xdr:sp macro="" textlink="">
        <xdr:nvSpPr>
          <xdr:cNvPr id="22" name="TextBox 21">
            <a:extLst>
              <a:ext uri="{FF2B5EF4-FFF2-40B4-BE49-F238E27FC236}">
                <a16:creationId xmlns:a16="http://schemas.microsoft.com/office/drawing/2014/main" id="{4D9FA439-DFB6-4411-82DC-4245AFA604D6}"/>
              </a:ext>
            </a:extLst>
          </xdr:cNvPr>
          <xdr:cNvSpPr txBox="1"/>
        </xdr:nvSpPr>
        <xdr:spPr>
          <a:xfrm>
            <a:off x="4514850" y="1657350"/>
            <a:ext cx="663323"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solidFill>
                  <a:srgbClr val="71BD44"/>
                </a:solidFill>
                <a:latin typeface="Times New Roman" panose="02020603050405020304" pitchFamily="18" charset="0"/>
                <a:cs typeface="Times New Roman" panose="02020603050405020304" pitchFamily="18" charset="0"/>
              </a:rPr>
              <a:t>(USD)</a:t>
            </a:r>
          </a:p>
        </xdr:txBody>
      </xdr:sp>
    </xdr:grpSp>
    <xdr:clientData/>
  </xdr:twoCellAnchor>
  <xdr:twoCellAnchor>
    <xdr:from>
      <xdr:col>10</xdr:col>
      <xdr:colOff>542925</xdr:colOff>
      <xdr:row>4</xdr:row>
      <xdr:rowOff>85725</xdr:rowOff>
    </xdr:from>
    <xdr:to>
      <xdr:col>14</xdr:col>
      <xdr:colOff>19050</xdr:colOff>
      <xdr:row>10</xdr:row>
      <xdr:rowOff>180975</xdr:rowOff>
    </xdr:to>
    <xdr:grpSp>
      <xdr:nvGrpSpPr>
        <xdr:cNvPr id="12" name="Group 11">
          <a:extLst>
            <a:ext uri="{FF2B5EF4-FFF2-40B4-BE49-F238E27FC236}">
              <a16:creationId xmlns:a16="http://schemas.microsoft.com/office/drawing/2014/main" id="{A9DEDC78-C3E6-4C9A-968E-F6A4ED1D1A61}"/>
            </a:ext>
          </a:extLst>
        </xdr:cNvPr>
        <xdr:cNvGrpSpPr/>
      </xdr:nvGrpSpPr>
      <xdr:grpSpPr>
        <a:xfrm>
          <a:off x="6638925" y="847725"/>
          <a:ext cx="1914525" cy="1238250"/>
          <a:chOff x="5905500" y="876300"/>
          <a:chExt cx="1914525" cy="1238250"/>
        </a:xfrm>
      </xdr:grpSpPr>
      <xdr:sp macro="" textlink="">
        <xdr:nvSpPr>
          <xdr:cNvPr id="7" name="Rectangle: Rounded Corners 6">
            <a:extLst>
              <a:ext uri="{FF2B5EF4-FFF2-40B4-BE49-F238E27FC236}">
                <a16:creationId xmlns:a16="http://schemas.microsoft.com/office/drawing/2014/main" id="{785D293C-25FA-4D5C-B9F1-F47A686AA8CC}"/>
              </a:ext>
            </a:extLst>
          </xdr:cNvPr>
          <xdr:cNvSpPr/>
        </xdr:nvSpPr>
        <xdr:spPr>
          <a:xfrm>
            <a:off x="5905500" y="876300"/>
            <a:ext cx="1914525" cy="1238250"/>
          </a:xfrm>
          <a:prstGeom prst="roundRect">
            <a:avLst/>
          </a:prstGeom>
          <a:solidFill>
            <a:schemeClr val="bg1"/>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rgbClr val="71BD44"/>
                </a:solidFill>
                <a:latin typeface="Times New Roman" panose="02020603050405020304" pitchFamily="18" charset="0"/>
                <a:cs typeface="Times New Roman" panose="02020603050405020304" pitchFamily="18" charset="0"/>
              </a:rPr>
              <a:t>Tổng</a:t>
            </a:r>
            <a:r>
              <a:rPr lang="en-US" sz="1400" b="1" baseline="0">
                <a:solidFill>
                  <a:srgbClr val="71BD44"/>
                </a:solidFill>
                <a:latin typeface="Times New Roman" panose="02020603050405020304" pitchFamily="18" charset="0"/>
                <a:cs typeface="Times New Roman" panose="02020603050405020304" pitchFamily="18" charset="0"/>
              </a:rPr>
              <a:t> Lượng Bán</a:t>
            </a:r>
            <a:endParaRPr lang="en-US" sz="1400" b="1">
              <a:solidFill>
                <a:srgbClr val="71BD44"/>
              </a:solidFill>
              <a:latin typeface="Times New Roman" panose="02020603050405020304" pitchFamily="18" charset="0"/>
              <a:cs typeface="Times New Roman" panose="02020603050405020304" pitchFamily="18" charset="0"/>
            </a:endParaRPr>
          </a:p>
        </xdr:txBody>
      </xdr:sp>
      <xdr:sp macro="" textlink="Data_analysis!Q5">
        <xdr:nvSpPr>
          <xdr:cNvPr id="23" name="TextBox 22">
            <a:extLst>
              <a:ext uri="{FF2B5EF4-FFF2-40B4-BE49-F238E27FC236}">
                <a16:creationId xmlns:a16="http://schemas.microsoft.com/office/drawing/2014/main" id="{30AF729C-DBB3-4B0E-9228-21AECAF8D99B}"/>
              </a:ext>
            </a:extLst>
          </xdr:cNvPr>
          <xdr:cNvSpPr txBox="1"/>
        </xdr:nvSpPr>
        <xdr:spPr>
          <a:xfrm>
            <a:off x="6353175" y="1247775"/>
            <a:ext cx="1018227" cy="3872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FEBBDE5E-A47D-4194-89F3-C086970973C9}" type="TxLink">
              <a:rPr lang="en-US" sz="2000" b="1" i="0" u="none" strike="noStrike">
                <a:solidFill>
                  <a:srgbClr val="71BD44"/>
                </a:solidFill>
                <a:latin typeface="Times New Roman" panose="02020603050405020304" pitchFamily="18" charset="0"/>
                <a:ea typeface="Calibri"/>
                <a:cs typeface="Times New Roman" panose="02020603050405020304" pitchFamily="18" charset="0"/>
              </a:rPr>
              <a:pPr/>
              <a:t>3488.00</a:t>
            </a:fld>
            <a:endParaRPr lang="en-US" sz="2000" b="1">
              <a:solidFill>
                <a:srgbClr val="71BD44"/>
              </a:solidFill>
              <a:latin typeface="Times New Roman" panose="02020603050405020304" pitchFamily="18" charset="0"/>
              <a:cs typeface="Times New Roman" panose="02020603050405020304" pitchFamily="18" charset="0"/>
            </a:endParaRPr>
          </a:p>
        </xdr:txBody>
      </xdr:sp>
      <xdr:sp macro="" textlink="">
        <xdr:nvSpPr>
          <xdr:cNvPr id="24" name="TextBox 23">
            <a:extLst>
              <a:ext uri="{FF2B5EF4-FFF2-40B4-BE49-F238E27FC236}">
                <a16:creationId xmlns:a16="http://schemas.microsoft.com/office/drawing/2014/main" id="{8E34F193-86AD-4E12-8244-387DED6D77CC}"/>
              </a:ext>
            </a:extLst>
          </xdr:cNvPr>
          <xdr:cNvSpPr txBox="1"/>
        </xdr:nvSpPr>
        <xdr:spPr>
          <a:xfrm>
            <a:off x="6534150" y="1657350"/>
            <a:ext cx="603499"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solidFill>
                  <a:srgbClr val="71BD44"/>
                </a:solidFill>
                <a:latin typeface="Times New Roman" panose="02020603050405020304" pitchFamily="18" charset="0"/>
                <a:cs typeface="Times New Roman" panose="02020603050405020304" pitchFamily="18" charset="0"/>
              </a:rPr>
              <a:t>(Box)</a:t>
            </a:r>
          </a:p>
        </xdr:txBody>
      </xdr:sp>
    </xdr:grpSp>
    <xdr:clientData/>
  </xdr:twoCellAnchor>
  <xdr:twoCellAnchor>
    <xdr:from>
      <xdr:col>14</xdr:col>
      <xdr:colOff>542925</xdr:colOff>
      <xdr:row>4</xdr:row>
      <xdr:rowOff>85725</xdr:rowOff>
    </xdr:from>
    <xdr:to>
      <xdr:col>18</xdr:col>
      <xdr:colOff>19050</xdr:colOff>
      <xdr:row>10</xdr:row>
      <xdr:rowOff>180975</xdr:rowOff>
    </xdr:to>
    <xdr:grpSp>
      <xdr:nvGrpSpPr>
        <xdr:cNvPr id="11" name="Group 10">
          <a:extLst>
            <a:ext uri="{FF2B5EF4-FFF2-40B4-BE49-F238E27FC236}">
              <a16:creationId xmlns:a16="http://schemas.microsoft.com/office/drawing/2014/main" id="{0E928D3A-5FF1-4ACD-90F3-EA11DA92D490}"/>
            </a:ext>
          </a:extLst>
        </xdr:cNvPr>
        <xdr:cNvGrpSpPr/>
      </xdr:nvGrpSpPr>
      <xdr:grpSpPr>
        <a:xfrm>
          <a:off x="9077325" y="847725"/>
          <a:ext cx="1914525" cy="1238250"/>
          <a:chOff x="7943850" y="876300"/>
          <a:chExt cx="1914525" cy="1238250"/>
        </a:xfrm>
      </xdr:grpSpPr>
      <xdr:sp macro="" textlink="">
        <xdr:nvSpPr>
          <xdr:cNvPr id="8" name="Rectangle: Rounded Corners 7">
            <a:extLst>
              <a:ext uri="{FF2B5EF4-FFF2-40B4-BE49-F238E27FC236}">
                <a16:creationId xmlns:a16="http://schemas.microsoft.com/office/drawing/2014/main" id="{A99C6807-153F-4D25-8196-265975C2A680}"/>
              </a:ext>
            </a:extLst>
          </xdr:cNvPr>
          <xdr:cNvSpPr/>
        </xdr:nvSpPr>
        <xdr:spPr>
          <a:xfrm>
            <a:off x="7943850" y="876300"/>
            <a:ext cx="1914525" cy="1238250"/>
          </a:xfrm>
          <a:prstGeom prst="roundRect">
            <a:avLst/>
          </a:prstGeom>
          <a:solidFill>
            <a:schemeClr val="bg1"/>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rgbClr val="71BD44"/>
                </a:solidFill>
                <a:latin typeface="Times New Roman" panose="02020603050405020304" pitchFamily="18" charset="0"/>
                <a:cs typeface="Times New Roman" panose="02020603050405020304" pitchFamily="18" charset="0"/>
              </a:rPr>
              <a:t>TB Giá</a:t>
            </a:r>
            <a:r>
              <a:rPr lang="en-US" sz="1400" b="1" baseline="0">
                <a:solidFill>
                  <a:srgbClr val="71BD44"/>
                </a:solidFill>
                <a:latin typeface="Times New Roman" panose="02020603050405020304" pitchFamily="18" charset="0"/>
                <a:cs typeface="Times New Roman" panose="02020603050405020304" pitchFamily="18" charset="0"/>
              </a:rPr>
              <a:t> Giao Dịch</a:t>
            </a:r>
            <a:endParaRPr lang="en-US" sz="1400" b="1">
              <a:solidFill>
                <a:srgbClr val="71BD44"/>
              </a:solidFill>
              <a:latin typeface="Times New Roman" panose="02020603050405020304" pitchFamily="18" charset="0"/>
              <a:cs typeface="Times New Roman" panose="02020603050405020304" pitchFamily="18" charset="0"/>
            </a:endParaRPr>
          </a:p>
        </xdr:txBody>
      </xdr:sp>
      <xdr:sp macro="" textlink="Data_analysis!Q6">
        <xdr:nvSpPr>
          <xdr:cNvPr id="25" name="TextBox 24">
            <a:extLst>
              <a:ext uri="{FF2B5EF4-FFF2-40B4-BE49-F238E27FC236}">
                <a16:creationId xmlns:a16="http://schemas.microsoft.com/office/drawing/2014/main" id="{FCCE6518-49CE-4FD7-986C-301737B3D89E}"/>
              </a:ext>
            </a:extLst>
          </xdr:cNvPr>
          <xdr:cNvSpPr txBox="1"/>
        </xdr:nvSpPr>
        <xdr:spPr>
          <a:xfrm>
            <a:off x="8467725" y="1247775"/>
            <a:ext cx="889987" cy="3872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901FF0A5-DD2A-49AA-B4B3-18485C5E7B52}" type="TxLink">
              <a:rPr lang="en-US" sz="2000" b="1" i="0" u="none" strike="noStrike">
                <a:solidFill>
                  <a:srgbClr val="71BD44"/>
                </a:solidFill>
                <a:latin typeface="Times New Roman" panose="02020603050405020304" pitchFamily="18" charset="0"/>
                <a:ea typeface="Calibri"/>
                <a:cs typeface="Times New Roman" panose="02020603050405020304" pitchFamily="18" charset="0"/>
              </a:rPr>
              <a:pPr/>
              <a:t>176.96</a:t>
            </a:fld>
            <a:endParaRPr lang="en-US" sz="2000" b="1">
              <a:solidFill>
                <a:srgbClr val="71BD44"/>
              </a:solidFill>
              <a:latin typeface="Times New Roman" panose="02020603050405020304" pitchFamily="18" charset="0"/>
              <a:cs typeface="Times New Roman" panose="02020603050405020304" pitchFamily="18" charset="0"/>
            </a:endParaRPr>
          </a:p>
        </xdr:txBody>
      </xdr:sp>
      <xdr:sp macro="" textlink="">
        <xdr:nvSpPr>
          <xdr:cNvPr id="26" name="TextBox 25">
            <a:extLst>
              <a:ext uri="{FF2B5EF4-FFF2-40B4-BE49-F238E27FC236}">
                <a16:creationId xmlns:a16="http://schemas.microsoft.com/office/drawing/2014/main" id="{A55469DF-C943-4CFD-A50D-427D8DAE25DE}"/>
              </a:ext>
            </a:extLst>
          </xdr:cNvPr>
          <xdr:cNvSpPr txBox="1"/>
        </xdr:nvSpPr>
        <xdr:spPr>
          <a:xfrm>
            <a:off x="8582025" y="1657350"/>
            <a:ext cx="663323"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solidFill>
                  <a:srgbClr val="71BD44"/>
                </a:solidFill>
                <a:latin typeface="Times New Roman" panose="02020603050405020304" pitchFamily="18" charset="0"/>
                <a:cs typeface="Times New Roman" panose="02020603050405020304" pitchFamily="18" charset="0"/>
              </a:rPr>
              <a:t>(USD)</a:t>
            </a:r>
          </a:p>
        </xdr:txBody>
      </xdr:sp>
    </xdr:grpSp>
    <xdr:clientData/>
  </xdr:twoCellAnchor>
  <xdr:twoCellAnchor>
    <xdr:from>
      <xdr:col>6</xdr:col>
      <xdr:colOff>247650</xdr:colOff>
      <xdr:row>11</xdr:row>
      <xdr:rowOff>114299</xdr:rowOff>
    </xdr:from>
    <xdr:to>
      <xdr:col>12</xdr:col>
      <xdr:colOff>504825</xdr:colOff>
      <xdr:row>23</xdr:row>
      <xdr:rowOff>66674</xdr:rowOff>
    </xdr:to>
    <xdr:graphicFrame macro="">
      <xdr:nvGraphicFramePr>
        <xdr:cNvPr id="27" name="Chart 26">
          <a:extLst>
            <a:ext uri="{FF2B5EF4-FFF2-40B4-BE49-F238E27FC236}">
              <a16:creationId xmlns:a16="http://schemas.microsoft.com/office/drawing/2014/main" id="{B2210BE9-3A90-44FD-8CF4-6F344C5DBB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238125</xdr:colOff>
      <xdr:row>23</xdr:row>
      <xdr:rowOff>142875</xdr:rowOff>
    </xdr:from>
    <xdr:to>
      <xdr:col>12</xdr:col>
      <xdr:colOff>514351</xdr:colOff>
      <xdr:row>36</xdr:row>
      <xdr:rowOff>76199</xdr:rowOff>
    </xdr:to>
    <xdr:graphicFrame macro="">
      <xdr:nvGraphicFramePr>
        <xdr:cNvPr id="28" name="Chart 27">
          <a:extLst>
            <a:ext uri="{FF2B5EF4-FFF2-40B4-BE49-F238E27FC236}">
              <a16:creationId xmlns:a16="http://schemas.microsoft.com/office/drawing/2014/main" id="{4DC4A195-D300-4763-A4BB-E06AA0932C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590550</xdr:colOff>
      <xdr:row>11</xdr:row>
      <xdr:rowOff>123825</xdr:rowOff>
    </xdr:from>
    <xdr:to>
      <xdr:col>19</xdr:col>
      <xdr:colOff>28576</xdr:colOff>
      <xdr:row>23</xdr:row>
      <xdr:rowOff>66675</xdr:rowOff>
    </xdr:to>
    <xdr:graphicFrame macro="">
      <xdr:nvGraphicFramePr>
        <xdr:cNvPr id="30" name="Chart 29">
          <a:extLst>
            <a:ext uri="{FF2B5EF4-FFF2-40B4-BE49-F238E27FC236}">
              <a16:creationId xmlns:a16="http://schemas.microsoft.com/office/drawing/2014/main" id="{2D67AEE9-6793-45F3-8FFF-396C7EBA46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590551</xdr:colOff>
      <xdr:row>23</xdr:row>
      <xdr:rowOff>152399</xdr:rowOff>
    </xdr:from>
    <xdr:to>
      <xdr:col>19</xdr:col>
      <xdr:colOff>38101</xdr:colOff>
      <xdr:row>36</xdr:row>
      <xdr:rowOff>66674</xdr:rowOff>
    </xdr:to>
    <xdr:graphicFrame macro="">
      <xdr:nvGraphicFramePr>
        <xdr:cNvPr id="31" name="Chart 30">
          <a:extLst>
            <a:ext uri="{FF2B5EF4-FFF2-40B4-BE49-F238E27FC236}">
              <a16:creationId xmlns:a16="http://schemas.microsoft.com/office/drawing/2014/main" id="{D6F6236C-3395-4545-AEFA-A575D98D9D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114301</xdr:colOff>
      <xdr:row>11</xdr:row>
      <xdr:rowOff>114300</xdr:rowOff>
    </xdr:from>
    <xdr:to>
      <xdr:col>27</xdr:col>
      <xdr:colOff>171451</xdr:colOff>
      <xdr:row>23</xdr:row>
      <xdr:rowOff>66675</xdr:rowOff>
    </xdr:to>
    <xdr:graphicFrame macro="">
      <xdr:nvGraphicFramePr>
        <xdr:cNvPr id="32" name="Chart 31">
          <a:extLst>
            <a:ext uri="{FF2B5EF4-FFF2-40B4-BE49-F238E27FC236}">
              <a16:creationId xmlns:a16="http://schemas.microsoft.com/office/drawing/2014/main" id="{AEAD84AF-D7E0-49CC-ADED-E48B3A0747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123825</xdr:colOff>
      <xdr:row>23</xdr:row>
      <xdr:rowOff>152400</xdr:rowOff>
    </xdr:from>
    <xdr:to>
      <xdr:col>27</xdr:col>
      <xdr:colOff>180975</xdr:colOff>
      <xdr:row>36</xdr:row>
      <xdr:rowOff>57150</xdr:rowOff>
    </xdr:to>
    <xdr:graphicFrame macro="">
      <xdr:nvGraphicFramePr>
        <xdr:cNvPr id="33" name="Chart 32">
          <a:extLst>
            <a:ext uri="{FF2B5EF4-FFF2-40B4-BE49-F238E27FC236}">
              <a16:creationId xmlns:a16="http://schemas.microsoft.com/office/drawing/2014/main" id="{289E2DBC-011D-44B1-ACC2-B0699F6598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438151</xdr:colOff>
      <xdr:row>0</xdr:row>
      <xdr:rowOff>28575</xdr:rowOff>
    </xdr:from>
    <xdr:to>
      <xdr:col>7</xdr:col>
      <xdr:colOff>564555</xdr:colOff>
      <xdr:row>12</xdr:row>
      <xdr:rowOff>47625</xdr:rowOff>
    </xdr:to>
    <xdr:pic>
      <xdr:nvPicPr>
        <xdr:cNvPr id="35" name="Picture 34">
          <a:extLst>
            <a:ext uri="{FF2B5EF4-FFF2-40B4-BE49-F238E27FC236}">
              <a16:creationId xmlns:a16="http://schemas.microsoft.com/office/drawing/2014/main" id="{C162AD53-CF83-4858-AE77-F45F1403710D}"/>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438151" y="28575"/>
          <a:ext cx="4393604" cy="2305050"/>
        </a:xfrm>
        <a:prstGeom prst="rect">
          <a:avLst/>
        </a:prstGeom>
      </xdr:spPr>
    </xdr:pic>
    <xdr:clientData/>
  </xdr:twoCellAnchor>
  <xdr:twoCellAnchor editAs="oneCell">
    <xdr:from>
      <xdr:col>23</xdr:col>
      <xdr:colOff>523874</xdr:colOff>
      <xdr:row>0</xdr:row>
      <xdr:rowOff>28575</xdr:rowOff>
    </xdr:from>
    <xdr:to>
      <xdr:col>27</xdr:col>
      <xdr:colOff>380999</xdr:colOff>
      <xdr:row>12</xdr:row>
      <xdr:rowOff>38100</xdr:rowOff>
    </xdr:to>
    <xdr:pic>
      <xdr:nvPicPr>
        <xdr:cNvPr id="37" name="Picture 36">
          <a:extLst>
            <a:ext uri="{FF2B5EF4-FFF2-40B4-BE49-F238E27FC236}">
              <a16:creationId xmlns:a16="http://schemas.microsoft.com/office/drawing/2014/main" id="{79160789-8614-4439-A4AF-0469272E4991}"/>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4544674" y="28575"/>
          <a:ext cx="2295525" cy="2295525"/>
        </a:xfrm>
        <a:prstGeom prst="rect">
          <a:avLst/>
        </a:prstGeom>
      </xdr:spPr>
    </xdr:pic>
    <xdr:clientData/>
  </xdr:twoCellAnchor>
  <xdr:twoCellAnchor>
    <xdr:from>
      <xdr:col>3</xdr:col>
      <xdr:colOff>38100</xdr:colOff>
      <xdr:row>10</xdr:row>
      <xdr:rowOff>152400</xdr:rowOff>
    </xdr:from>
    <xdr:to>
      <xdr:col>4</xdr:col>
      <xdr:colOff>114300</xdr:colOff>
      <xdr:row>14</xdr:row>
      <xdr:rowOff>9525</xdr:rowOff>
    </xdr:to>
    <xdr:sp macro="" textlink="">
      <xdr:nvSpPr>
        <xdr:cNvPr id="38" name="Rectangle: Rounded Corners 37">
          <a:hlinkClick xmlns:r="http://schemas.openxmlformats.org/officeDocument/2006/relationships" r:id="rId9"/>
          <a:extLst>
            <a:ext uri="{FF2B5EF4-FFF2-40B4-BE49-F238E27FC236}">
              <a16:creationId xmlns:a16="http://schemas.microsoft.com/office/drawing/2014/main" id="{4571092A-54FC-4F93-B6BE-142E2202E833}"/>
            </a:ext>
          </a:extLst>
        </xdr:cNvPr>
        <xdr:cNvSpPr/>
      </xdr:nvSpPr>
      <xdr:spPr>
        <a:xfrm>
          <a:off x="1866900" y="2057400"/>
          <a:ext cx="685800" cy="619125"/>
        </a:xfrm>
        <a:prstGeom prst="roundRect">
          <a:avLst/>
        </a:prstGeom>
        <a:solidFill>
          <a:srgbClr val="71BD44"/>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latin typeface="Times New Roman" panose="02020603050405020304" pitchFamily="18" charset="0"/>
              <a:cs typeface="Times New Roman" panose="02020603050405020304" pitchFamily="18" charset="0"/>
            </a:rPr>
            <a:t>Tab1</a:t>
          </a:r>
        </a:p>
      </xdr:txBody>
    </xdr:sp>
    <xdr:clientData/>
  </xdr:twoCellAnchor>
  <xdr:twoCellAnchor>
    <xdr:from>
      <xdr:col>4</xdr:col>
      <xdr:colOff>257175</xdr:colOff>
      <xdr:row>10</xdr:row>
      <xdr:rowOff>152400</xdr:rowOff>
    </xdr:from>
    <xdr:to>
      <xdr:col>5</xdr:col>
      <xdr:colOff>333375</xdr:colOff>
      <xdr:row>14</xdr:row>
      <xdr:rowOff>9525</xdr:rowOff>
    </xdr:to>
    <xdr:sp macro="" textlink="">
      <xdr:nvSpPr>
        <xdr:cNvPr id="39" name="Rectangle: Rounded Corners 38">
          <a:hlinkClick xmlns:r="http://schemas.openxmlformats.org/officeDocument/2006/relationships" r:id="rId10"/>
          <a:extLst>
            <a:ext uri="{FF2B5EF4-FFF2-40B4-BE49-F238E27FC236}">
              <a16:creationId xmlns:a16="http://schemas.microsoft.com/office/drawing/2014/main" id="{852A240A-E365-4AC6-BDC7-75F96BE0A12C}"/>
            </a:ext>
          </a:extLst>
        </xdr:cNvPr>
        <xdr:cNvSpPr/>
      </xdr:nvSpPr>
      <xdr:spPr>
        <a:xfrm>
          <a:off x="2695575" y="2057400"/>
          <a:ext cx="685800" cy="619125"/>
        </a:xfrm>
        <a:prstGeom prst="roundRect">
          <a:avLst/>
        </a:prstGeom>
        <a:solidFill>
          <a:srgbClr val="71BD44"/>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latin typeface="Times New Roman" panose="02020603050405020304" pitchFamily="18" charset="0"/>
              <a:cs typeface="Times New Roman" panose="02020603050405020304" pitchFamily="18" charset="0"/>
            </a:rPr>
            <a:t>Tab2</a:t>
          </a:r>
        </a:p>
      </xdr:txBody>
    </xdr:sp>
    <xdr:clientData/>
  </xdr:twoCellAnchor>
  <xdr:twoCellAnchor editAs="oneCell">
    <xdr:from>
      <xdr:col>2</xdr:col>
      <xdr:colOff>504825</xdr:colOff>
      <xdr:row>15</xdr:row>
      <xdr:rowOff>66676</xdr:rowOff>
    </xdr:from>
    <xdr:to>
      <xdr:col>5</xdr:col>
      <xdr:colOff>504825</xdr:colOff>
      <xdr:row>18</xdr:row>
      <xdr:rowOff>152402</xdr:rowOff>
    </xdr:to>
    <mc:AlternateContent xmlns:mc="http://schemas.openxmlformats.org/markup-compatibility/2006" xmlns:a14="http://schemas.microsoft.com/office/drawing/2010/main">
      <mc:Choice Requires="a14">
        <xdr:graphicFrame macro="">
          <xdr:nvGraphicFramePr>
            <xdr:cNvPr id="29" name="Sales Person">
              <a:extLst>
                <a:ext uri="{FF2B5EF4-FFF2-40B4-BE49-F238E27FC236}">
                  <a16:creationId xmlns:a16="http://schemas.microsoft.com/office/drawing/2014/main" id="{D08FB8BC-946E-4E94-96EC-592DBD5B501D}"/>
                </a:ext>
              </a:extLst>
            </xdr:cNvPr>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mlns="">
        <xdr:sp macro="" textlink="">
          <xdr:nvSpPr>
            <xdr:cNvPr id="0" name=""/>
            <xdr:cNvSpPr>
              <a:spLocks noTextEdit="1"/>
            </xdr:cNvSpPr>
          </xdr:nvSpPr>
          <xdr:spPr>
            <a:xfrm>
              <a:off x="1724025" y="2924176"/>
              <a:ext cx="1828800" cy="6572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514350</xdr:colOff>
      <xdr:row>27</xdr:row>
      <xdr:rowOff>152400</xdr:rowOff>
    </xdr:from>
    <xdr:to>
      <xdr:col>5</xdr:col>
      <xdr:colOff>514350</xdr:colOff>
      <xdr:row>31</xdr:row>
      <xdr:rowOff>19050</xdr:rowOff>
    </xdr:to>
    <mc:AlternateContent xmlns:mc="http://schemas.openxmlformats.org/markup-compatibility/2006" xmlns:a14="http://schemas.microsoft.com/office/drawing/2010/main">
      <mc:Choice Requires="a14">
        <xdr:graphicFrame macro="">
          <xdr:nvGraphicFramePr>
            <xdr:cNvPr id="34" name="Product">
              <a:extLst>
                <a:ext uri="{FF2B5EF4-FFF2-40B4-BE49-F238E27FC236}">
                  <a16:creationId xmlns:a16="http://schemas.microsoft.com/office/drawing/2014/main" id="{7F41B82B-E09D-438D-90C9-285E69F81E54}"/>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733550" y="5295900"/>
              <a:ext cx="1828800" cy="628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523875</xdr:colOff>
      <xdr:row>23</xdr:row>
      <xdr:rowOff>133350</xdr:rowOff>
    </xdr:from>
    <xdr:to>
      <xdr:col>5</xdr:col>
      <xdr:colOff>523875</xdr:colOff>
      <xdr:row>27</xdr:row>
      <xdr:rowOff>9525</xdr:rowOff>
    </xdr:to>
    <mc:AlternateContent xmlns:mc="http://schemas.openxmlformats.org/markup-compatibility/2006" xmlns:a14="http://schemas.microsoft.com/office/drawing/2010/main">
      <mc:Choice Requires="a14">
        <xdr:graphicFrame macro="">
          <xdr:nvGraphicFramePr>
            <xdr:cNvPr id="36" name="Country">
              <a:extLst>
                <a:ext uri="{FF2B5EF4-FFF2-40B4-BE49-F238E27FC236}">
                  <a16:creationId xmlns:a16="http://schemas.microsoft.com/office/drawing/2014/main" id="{4E4635C9-5441-4E66-8C1A-A51DF848DAAF}"/>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743075" y="4514850"/>
              <a:ext cx="1828800" cy="638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514350</xdr:colOff>
      <xdr:row>19</xdr:row>
      <xdr:rowOff>123825</xdr:rowOff>
    </xdr:from>
    <xdr:to>
      <xdr:col>5</xdr:col>
      <xdr:colOff>514350</xdr:colOff>
      <xdr:row>23</xdr:row>
      <xdr:rowOff>9525</xdr:rowOff>
    </xdr:to>
    <mc:AlternateContent xmlns:mc="http://schemas.openxmlformats.org/markup-compatibility/2006" xmlns:a14="http://schemas.microsoft.com/office/drawing/2010/main">
      <mc:Choice Requires="a14">
        <xdr:graphicFrame macro="">
          <xdr:nvGraphicFramePr>
            <xdr:cNvPr id="40" name="Months">
              <a:extLst>
                <a:ext uri="{FF2B5EF4-FFF2-40B4-BE49-F238E27FC236}">
                  <a16:creationId xmlns:a16="http://schemas.microsoft.com/office/drawing/2014/main" id="{95A09E0A-3059-4F49-888D-6F1CD9C7294C}"/>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1733550" y="3743325"/>
              <a:ext cx="1828800" cy="647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504825</xdr:colOff>
      <xdr:row>31</xdr:row>
      <xdr:rowOff>171450</xdr:rowOff>
    </xdr:from>
    <xdr:to>
      <xdr:col>5</xdr:col>
      <xdr:colOff>504825</xdr:colOff>
      <xdr:row>35</xdr:row>
      <xdr:rowOff>0</xdr:rowOff>
    </xdr:to>
    <mc:AlternateContent xmlns:mc="http://schemas.openxmlformats.org/markup-compatibility/2006" xmlns:a14="http://schemas.microsoft.com/office/drawing/2010/main">
      <mc:Choice Requires="a14">
        <xdr:graphicFrame macro="">
          <xdr:nvGraphicFramePr>
            <xdr:cNvPr id="41" name="Date ">
              <a:extLst>
                <a:ext uri="{FF2B5EF4-FFF2-40B4-BE49-F238E27FC236}">
                  <a16:creationId xmlns:a16="http://schemas.microsoft.com/office/drawing/2014/main" id="{FAB73FF2-FA15-453D-8CDD-C778896559F0}"/>
                </a:ext>
              </a:extLst>
            </xdr:cNvPr>
            <xdr:cNvGraphicFramePr/>
          </xdr:nvGraphicFramePr>
          <xdr:xfrm>
            <a:off x="0" y="0"/>
            <a:ext cx="0" cy="0"/>
          </xdr:xfrm>
          <a:graphic>
            <a:graphicData uri="http://schemas.microsoft.com/office/drawing/2010/slicer">
              <sle:slicer xmlns:sle="http://schemas.microsoft.com/office/drawing/2010/slicer" name="Date "/>
            </a:graphicData>
          </a:graphic>
        </xdr:graphicFrame>
      </mc:Choice>
      <mc:Fallback xmlns="">
        <xdr:sp macro="" textlink="">
          <xdr:nvSpPr>
            <xdr:cNvPr id="0" name=""/>
            <xdr:cNvSpPr>
              <a:spLocks noTextEdit="1"/>
            </xdr:cNvSpPr>
          </xdr:nvSpPr>
          <xdr:spPr>
            <a:xfrm>
              <a:off x="1724025" y="6076950"/>
              <a:ext cx="1828800" cy="590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457200</xdr:colOff>
      <xdr:row>0</xdr:row>
      <xdr:rowOff>171450</xdr:rowOff>
    </xdr:from>
    <xdr:to>
      <xdr:col>21</xdr:col>
      <xdr:colOff>504825</xdr:colOff>
      <xdr:row>10</xdr:row>
      <xdr:rowOff>104775</xdr:rowOff>
    </xdr:to>
    <xdr:sp macro="" textlink="">
      <xdr:nvSpPr>
        <xdr:cNvPr id="9" name="Flowchart: Off-page Connector 8">
          <a:extLst>
            <a:ext uri="{FF2B5EF4-FFF2-40B4-BE49-F238E27FC236}">
              <a16:creationId xmlns:a16="http://schemas.microsoft.com/office/drawing/2014/main" id="{A7C42DB9-DA7C-4BAE-93ED-45CEB1A4F0A9}"/>
            </a:ext>
          </a:extLst>
        </xdr:cNvPr>
        <xdr:cNvSpPr/>
      </xdr:nvSpPr>
      <xdr:spPr>
        <a:xfrm>
          <a:off x="12039600" y="171450"/>
          <a:ext cx="1266825" cy="1838325"/>
        </a:xfrm>
        <a:prstGeom prst="flowChartOffpageConnector">
          <a:avLst/>
        </a:prstGeom>
        <a:solidFill>
          <a:schemeClr val="bg1"/>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rgbClr val="71BD44"/>
              </a:solidFill>
              <a:latin typeface="Times New Roman" panose="02020603050405020304" pitchFamily="18" charset="0"/>
              <a:cs typeface="Times New Roman" panose="02020603050405020304" pitchFamily="18" charset="0"/>
            </a:rPr>
            <a:t>TS</a:t>
          </a:r>
          <a:r>
            <a:rPr lang="en-US" sz="1400" b="1" baseline="0">
              <a:solidFill>
                <a:srgbClr val="71BD44"/>
              </a:solidFill>
              <a:latin typeface="Times New Roman" panose="02020603050405020304" pitchFamily="18" charset="0"/>
              <a:cs typeface="Times New Roman" panose="02020603050405020304" pitchFamily="18" charset="0"/>
            </a:rPr>
            <a:t> Nhân Viên</a:t>
          </a:r>
          <a:endParaRPr lang="en-US" sz="1400" b="1">
            <a:solidFill>
              <a:srgbClr val="71BD44"/>
            </a:solidFill>
            <a:latin typeface="Times New Roman" panose="02020603050405020304" pitchFamily="18" charset="0"/>
            <a:cs typeface="Times New Roman" panose="02020603050405020304" pitchFamily="18" charset="0"/>
          </a:endParaRPr>
        </a:p>
      </xdr:txBody>
    </xdr:sp>
    <xdr:clientData/>
  </xdr:twoCellAnchor>
  <xdr:twoCellAnchor>
    <xdr:from>
      <xdr:col>22</xdr:col>
      <xdr:colOff>114300</xdr:colOff>
      <xdr:row>0</xdr:row>
      <xdr:rowOff>180975</xdr:rowOff>
    </xdr:from>
    <xdr:to>
      <xdr:col>24</xdr:col>
      <xdr:colOff>123825</xdr:colOff>
      <xdr:row>10</xdr:row>
      <xdr:rowOff>114300</xdr:rowOff>
    </xdr:to>
    <xdr:sp macro="" textlink="">
      <xdr:nvSpPr>
        <xdr:cNvPr id="44" name="Flowchart: Off-page Connector 43">
          <a:extLst>
            <a:ext uri="{FF2B5EF4-FFF2-40B4-BE49-F238E27FC236}">
              <a16:creationId xmlns:a16="http://schemas.microsoft.com/office/drawing/2014/main" id="{04C40FBC-7B86-4A5C-AEEC-EB508E2CD730}"/>
            </a:ext>
          </a:extLst>
        </xdr:cNvPr>
        <xdr:cNvSpPr/>
      </xdr:nvSpPr>
      <xdr:spPr>
        <a:xfrm>
          <a:off x="13525500" y="180975"/>
          <a:ext cx="1228725" cy="1838325"/>
        </a:xfrm>
        <a:prstGeom prst="flowChartOffpageConnector">
          <a:avLst/>
        </a:prstGeom>
        <a:solidFill>
          <a:schemeClr val="bg1"/>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rgbClr val="71BD44"/>
              </a:solidFill>
              <a:latin typeface="Times New Roman" panose="02020603050405020304" pitchFamily="18" charset="0"/>
              <a:cs typeface="Times New Roman" panose="02020603050405020304" pitchFamily="18" charset="0"/>
            </a:rPr>
            <a:t>TS</a:t>
          </a:r>
          <a:r>
            <a:rPr lang="en-US" sz="1400" b="1" baseline="0">
              <a:solidFill>
                <a:srgbClr val="71BD44"/>
              </a:solidFill>
              <a:latin typeface="Times New Roman" panose="02020603050405020304" pitchFamily="18" charset="0"/>
              <a:cs typeface="Times New Roman" panose="02020603050405020304" pitchFamily="18" charset="0"/>
            </a:rPr>
            <a:t> Mặt Hàng</a:t>
          </a:r>
          <a:endParaRPr lang="en-US" sz="1400" b="1">
            <a:solidFill>
              <a:srgbClr val="71BD44"/>
            </a:solidFill>
            <a:latin typeface="Times New Roman" panose="02020603050405020304" pitchFamily="18" charset="0"/>
            <a:cs typeface="Times New Roman" panose="02020603050405020304" pitchFamily="18" charset="0"/>
          </a:endParaRPr>
        </a:p>
      </xdr:txBody>
    </xdr:sp>
    <xdr:clientData/>
  </xdr:twoCellAnchor>
  <xdr:oneCellAnchor>
    <xdr:from>
      <xdr:col>20</xdr:col>
      <xdr:colOff>304800</xdr:colOff>
      <xdr:row>3</xdr:row>
      <xdr:rowOff>76200</xdr:rowOff>
    </xdr:from>
    <xdr:ext cx="364202" cy="505203"/>
    <xdr:sp macro="" textlink="">
      <xdr:nvSpPr>
        <xdr:cNvPr id="14" name="TextBox 13">
          <a:extLst>
            <a:ext uri="{FF2B5EF4-FFF2-40B4-BE49-F238E27FC236}">
              <a16:creationId xmlns:a16="http://schemas.microsoft.com/office/drawing/2014/main" id="{F96E582F-C544-47BB-A01C-9657D4E84FB9}"/>
            </a:ext>
          </a:extLst>
        </xdr:cNvPr>
        <xdr:cNvSpPr txBox="1"/>
      </xdr:nvSpPr>
      <xdr:spPr>
        <a:xfrm>
          <a:off x="12496800" y="647700"/>
          <a:ext cx="364202" cy="5052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800" b="1">
              <a:solidFill>
                <a:srgbClr val="71BD44"/>
              </a:solidFill>
              <a:latin typeface="Times New Roman" panose="02020603050405020304" pitchFamily="18" charset="0"/>
              <a:cs typeface="Times New Roman" panose="02020603050405020304" pitchFamily="18" charset="0"/>
            </a:rPr>
            <a:t>7</a:t>
          </a:r>
        </a:p>
      </xdr:txBody>
    </xdr:sp>
    <xdr:clientData/>
  </xdr:oneCellAnchor>
  <xdr:oneCellAnchor>
    <xdr:from>
      <xdr:col>19</xdr:col>
      <xdr:colOff>533400</xdr:colOff>
      <xdr:row>7</xdr:row>
      <xdr:rowOff>9525</xdr:rowOff>
    </xdr:from>
    <xdr:ext cx="1127232" cy="298800"/>
    <xdr:sp macro="" textlink="">
      <xdr:nvSpPr>
        <xdr:cNvPr id="15" name="TextBox 14">
          <a:extLst>
            <a:ext uri="{FF2B5EF4-FFF2-40B4-BE49-F238E27FC236}">
              <a16:creationId xmlns:a16="http://schemas.microsoft.com/office/drawing/2014/main" id="{DEE8501E-04FE-4CFE-8EBB-93A24A6B1B4F}"/>
            </a:ext>
          </a:extLst>
        </xdr:cNvPr>
        <xdr:cNvSpPr txBox="1"/>
      </xdr:nvSpPr>
      <xdr:spPr>
        <a:xfrm>
          <a:off x="12115800" y="1343025"/>
          <a:ext cx="1127232"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solidFill>
                <a:srgbClr val="71BD44"/>
              </a:solidFill>
              <a:latin typeface="Times New Roman" panose="02020603050405020304" pitchFamily="18" charset="0"/>
              <a:cs typeface="Times New Roman" panose="02020603050405020304" pitchFamily="18" charset="0"/>
            </a:rPr>
            <a:t>(Nhân</a:t>
          </a:r>
          <a:r>
            <a:rPr lang="en-US" sz="1400" b="1" baseline="0">
              <a:solidFill>
                <a:srgbClr val="71BD44"/>
              </a:solidFill>
              <a:latin typeface="Times New Roman" panose="02020603050405020304" pitchFamily="18" charset="0"/>
              <a:cs typeface="Times New Roman" panose="02020603050405020304" pitchFamily="18" charset="0"/>
            </a:rPr>
            <a:t> Viên)</a:t>
          </a:r>
          <a:endParaRPr lang="en-US" sz="1400" b="1">
            <a:solidFill>
              <a:srgbClr val="71BD44"/>
            </a:solidFill>
            <a:latin typeface="Times New Roman" panose="02020603050405020304" pitchFamily="18" charset="0"/>
            <a:cs typeface="Times New Roman" panose="02020603050405020304" pitchFamily="18" charset="0"/>
          </a:endParaRPr>
        </a:p>
      </xdr:txBody>
    </xdr:sp>
    <xdr:clientData/>
  </xdr:oneCellAnchor>
  <xdr:oneCellAnchor>
    <xdr:from>
      <xdr:col>22</xdr:col>
      <xdr:colOff>552450</xdr:colOff>
      <xdr:row>3</xdr:row>
      <xdr:rowOff>95250</xdr:rowOff>
    </xdr:from>
    <xdr:ext cx="364202" cy="505203"/>
    <xdr:sp macro="" textlink="">
      <xdr:nvSpPr>
        <xdr:cNvPr id="16" name="TextBox 15">
          <a:extLst>
            <a:ext uri="{FF2B5EF4-FFF2-40B4-BE49-F238E27FC236}">
              <a16:creationId xmlns:a16="http://schemas.microsoft.com/office/drawing/2014/main" id="{B062A0CD-F13E-4C48-A90C-CDE2BED82060}"/>
            </a:ext>
          </a:extLst>
        </xdr:cNvPr>
        <xdr:cNvSpPr txBox="1"/>
      </xdr:nvSpPr>
      <xdr:spPr>
        <a:xfrm>
          <a:off x="13963650" y="666750"/>
          <a:ext cx="364202" cy="5052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800" b="1">
              <a:solidFill>
                <a:srgbClr val="71BD44"/>
              </a:solidFill>
              <a:latin typeface="Times New Roman" panose="02020603050405020304" pitchFamily="18" charset="0"/>
              <a:cs typeface="Times New Roman" panose="02020603050405020304" pitchFamily="18" charset="0"/>
            </a:rPr>
            <a:t>7</a:t>
          </a:r>
        </a:p>
      </xdr:txBody>
    </xdr:sp>
    <xdr:clientData/>
  </xdr:oneCellAnchor>
  <xdr:oneCellAnchor>
    <xdr:from>
      <xdr:col>22</xdr:col>
      <xdr:colOff>228600</xdr:colOff>
      <xdr:row>7</xdr:row>
      <xdr:rowOff>28575</xdr:rowOff>
    </xdr:from>
    <xdr:ext cx="1047274" cy="298800"/>
    <xdr:sp macro="" textlink="">
      <xdr:nvSpPr>
        <xdr:cNvPr id="17" name="TextBox 16">
          <a:extLst>
            <a:ext uri="{FF2B5EF4-FFF2-40B4-BE49-F238E27FC236}">
              <a16:creationId xmlns:a16="http://schemas.microsoft.com/office/drawing/2014/main" id="{573D9481-7EF6-40A3-90DB-A54E0D1EECFB}"/>
            </a:ext>
          </a:extLst>
        </xdr:cNvPr>
        <xdr:cNvSpPr txBox="1"/>
      </xdr:nvSpPr>
      <xdr:spPr>
        <a:xfrm>
          <a:off x="13639800" y="1362075"/>
          <a:ext cx="1047274"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solidFill>
                <a:srgbClr val="71BD44"/>
              </a:solidFill>
              <a:latin typeface="Times New Roman" panose="02020603050405020304" pitchFamily="18" charset="0"/>
              <a:cs typeface="Times New Roman" panose="02020603050405020304" pitchFamily="18" charset="0"/>
            </a:rPr>
            <a:t>(Mặt</a:t>
          </a:r>
          <a:r>
            <a:rPr lang="en-US" sz="1400" b="1" baseline="0">
              <a:solidFill>
                <a:srgbClr val="71BD44"/>
              </a:solidFill>
              <a:latin typeface="Times New Roman" panose="02020603050405020304" pitchFamily="18" charset="0"/>
              <a:cs typeface="Times New Roman" panose="02020603050405020304" pitchFamily="18" charset="0"/>
            </a:rPr>
            <a:t> hàng</a:t>
          </a:r>
          <a:r>
            <a:rPr lang="en-US" sz="1400" b="1">
              <a:solidFill>
                <a:srgbClr val="71BD44"/>
              </a:solidFill>
              <a:latin typeface="Times New Roman" panose="02020603050405020304" pitchFamily="18" charset="0"/>
              <a:cs typeface="Times New Roman" panose="02020603050405020304" pitchFamily="18" charset="0"/>
            </a:rPr>
            <a:t>)</a:t>
          </a: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1</xdr:col>
      <xdr:colOff>533398</xdr:colOff>
      <xdr:row>0</xdr:row>
      <xdr:rowOff>161925</xdr:rowOff>
    </xdr:from>
    <xdr:to>
      <xdr:col>26</xdr:col>
      <xdr:colOff>408430</xdr:colOff>
      <xdr:row>36</xdr:row>
      <xdr:rowOff>143637</xdr:rowOff>
    </xdr:to>
    <xdr:sp macro="" textlink="">
      <xdr:nvSpPr>
        <xdr:cNvPr id="39" name="Rectangle 38">
          <a:extLst>
            <a:ext uri="{FF2B5EF4-FFF2-40B4-BE49-F238E27FC236}">
              <a16:creationId xmlns:a16="http://schemas.microsoft.com/office/drawing/2014/main" id="{A46C4230-3D67-4866-A865-E1DE6D0FD59E}"/>
            </a:ext>
          </a:extLst>
        </xdr:cNvPr>
        <xdr:cNvSpPr/>
      </xdr:nvSpPr>
      <xdr:spPr>
        <a:xfrm>
          <a:off x="1142998" y="161925"/>
          <a:ext cx="15115032" cy="6839712"/>
        </a:xfrm>
        <a:prstGeom prst="rect">
          <a:avLst/>
        </a:prstGeom>
        <a:solidFill>
          <a:srgbClr val="71BD44"/>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a:p>
          <a:pPr algn="l"/>
          <a:endParaRPr lang="en-US" sz="1100"/>
        </a:p>
      </xdr:txBody>
    </xdr:sp>
    <xdr:clientData/>
  </xdr:twoCellAnchor>
  <xdr:twoCellAnchor>
    <xdr:from>
      <xdr:col>2</xdr:col>
      <xdr:colOff>28574</xdr:colOff>
      <xdr:row>1</xdr:row>
      <xdr:rowOff>57150</xdr:rowOff>
    </xdr:from>
    <xdr:to>
      <xdr:col>5</xdr:col>
      <xdr:colOff>95249</xdr:colOff>
      <xdr:row>36</xdr:row>
      <xdr:rowOff>57150</xdr:rowOff>
    </xdr:to>
    <xdr:sp macro="" textlink="">
      <xdr:nvSpPr>
        <xdr:cNvPr id="40" name="Rectangle: Rounded Corners 39">
          <a:extLst>
            <a:ext uri="{FF2B5EF4-FFF2-40B4-BE49-F238E27FC236}">
              <a16:creationId xmlns:a16="http://schemas.microsoft.com/office/drawing/2014/main" id="{B5A9CC8C-E384-4326-9487-28CB705C9496}"/>
            </a:ext>
          </a:extLst>
        </xdr:cNvPr>
        <xdr:cNvSpPr/>
      </xdr:nvSpPr>
      <xdr:spPr>
        <a:xfrm>
          <a:off x="1247774" y="247650"/>
          <a:ext cx="1895475" cy="6667500"/>
        </a:xfrm>
        <a:prstGeom prst="roundRect">
          <a:avLst/>
        </a:prstGeom>
        <a:solidFill>
          <a:sysClr val="window" lastClr="FFFFFF"/>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5</xdr:col>
      <xdr:colOff>266699</xdr:colOff>
      <xdr:row>1</xdr:row>
      <xdr:rowOff>161925</xdr:rowOff>
    </xdr:from>
    <xdr:ext cx="7366312" cy="357790"/>
    <xdr:sp macro="" textlink="">
      <xdr:nvSpPr>
        <xdr:cNvPr id="41" name="TextBox 40">
          <a:extLst>
            <a:ext uri="{FF2B5EF4-FFF2-40B4-BE49-F238E27FC236}">
              <a16:creationId xmlns:a16="http://schemas.microsoft.com/office/drawing/2014/main" id="{EC798EC3-5CF9-4E32-B9BC-AF93A3E6FDDF}"/>
            </a:ext>
          </a:extLst>
        </xdr:cNvPr>
        <xdr:cNvSpPr txBox="1"/>
      </xdr:nvSpPr>
      <xdr:spPr>
        <a:xfrm>
          <a:off x="3314699" y="352425"/>
          <a:ext cx="7366312" cy="357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latin typeface="Times New Roman" panose="02020603050405020304" pitchFamily="18" charset="0"/>
              <a:cs typeface="Times New Roman" panose="02020603050405020304" pitchFamily="18" charset="0"/>
            </a:rPr>
            <a:t>BÁO</a:t>
          </a:r>
          <a:r>
            <a:rPr lang="en-US" sz="1800" b="1" baseline="0">
              <a:solidFill>
                <a:schemeClr val="bg1"/>
              </a:solidFill>
              <a:latin typeface="Times New Roman" panose="02020603050405020304" pitchFamily="18" charset="0"/>
              <a:cs typeface="Times New Roman" panose="02020603050405020304" pitchFamily="18" charset="0"/>
            </a:rPr>
            <a:t> CÁO DOANH SỐ PHARMACITY THEO QUỐC GIA NĂM 2022</a:t>
          </a:r>
          <a:endParaRPr lang="en-US" sz="1800" b="1">
            <a:solidFill>
              <a:schemeClr val="bg1"/>
            </a:solidFill>
            <a:latin typeface="Times New Roman" panose="02020603050405020304" pitchFamily="18" charset="0"/>
            <a:cs typeface="Times New Roman" panose="02020603050405020304" pitchFamily="18" charset="0"/>
          </a:endParaRPr>
        </a:p>
      </xdr:txBody>
    </xdr:sp>
    <xdr:clientData/>
  </xdr:oneCellAnchor>
  <xdr:oneCellAnchor>
    <xdr:from>
      <xdr:col>17</xdr:col>
      <xdr:colOff>304799</xdr:colOff>
      <xdr:row>2</xdr:row>
      <xdr:rowOff>19050</xdr:rowOff>
    </xdr:from>
    <xdr:ext cx="847027" cy="254493"/>
    <xdr:sp macro="" textlink="">
      <xdr:nvSpPr>
        <xdr:cNvPr id="42" name="TextBox 41">
          <a:extLst>
            <a:ext uri="{FF2B5EF4-FFF2-40B4-BE49-F238E27FC236}">
              <a16:creationId xmlns:a16="http://schemas.microsoft.com/office/drawing/2014/main" id="{558747F4-D2B2-4DF3-9B2F-22C50E44F402}"/>
            </a:ext>
          </a:extLst>
        </xdr:cNvPr>
        <xdr:cNvSpPr txBox="1"/>
      </xdr:nvSpPr>
      <xdr:spPr>
        <a:xfrm>
          <a:off x="10667999" y="400050"/>
          <a:ext cx="84702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chemeClr val="bg1"/>
              </a:solidFill>
              <a:latin typeface="Times New Roman" panose="02020603050405020304" pitchFamily="18" charset="0"/>
              <a:cs typeface="Times New Roman" panose="02020603050405020304" pitchFamily="18" charset="0"/>
            </a:rPr>
            <a:t>ĐVT:</a:t>
          </a:r>
          <a:r>
            <a:rPr lang="en-US" sz="1100" b="1" baseline="0">
              <a:solidFill>
                <a:schemeClr val="bg1"/>
              </a:solidFill>
              <a:latin typeface="Times New Roman" panose="02020603050405020304" pitchFamily="18" charset="0"/>
              <a:cs typeface="Times New Roman" panose="02020603050405020304" pitchFamily="18" charset="0"/>
            </a:rPr>
            <a:t> USD</a:t>
          </a:r>
          <a:endParaRPr lang="en-US" sz="1100" b="1">
            <a:solidFill>
              <a:schemeClr val="bg1"/>
            </a:solidFill>
            <a:latin typeface="Times New Roman" panose="02020603050405020304" pitchFamily="18" charset="0"/>
            <a:cs typeface="Times New Roman" panose="02020603050405020304" pitchFamily="18" charset="0"/>
          </a:endParaRPr>
        </a:p>
      </xdr:txBody>
    </xdr:sp>
    <xdr:clientData/>
  </xdr:oneCellAnchor>
  <xdr:twoCellAnchor editAs="oneCell">
    <xdr:from>
      <xdr:col>0</xdr:col>
      <xdr:colOff>0</xdr:colOff>
      <xdr:row>0</xdr:row>
      <xdr:rowOff>0</xdr:rowOff>
    </xdr:from>
    <xdr:to>
      <xdr:col>7</xdr:col>
      <xdr:colOff>126404</xdr:colOff>
      <xdr:row>12</xdr:row>
      <xdr:rowOff>19050</xdr:rowOff>
    </xdr:to>
    <xdr:pic>
      <xdr:nvPicPr>
        <xdr:cNvPr id="61" name="Picture 60">
          <a:extLst>
            <a:ext uri="{FF2B5EF4-FFF2-40B4-BE49-F238E27FC236}">
              <a16:creationId xmlns:a16="http://schemas.microsoft.com/office/drawing/2014/main" id="{284D2AD3-1931-4934-9B6E-F77EF946002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4393604" cy="2305050"/>
        </a:xfrm>
        <a:prstGeom prst="rect">
          <a:avLst/>
        </a:prstGeom>
      </xdr:spPr>
    </xdr:pic>
    <xdr:clientData/>
  </xdr:twoCellAnchor>
  <xdr:twoCellAnchor editAs="oneCell">
    <xdr:from>
      <xdr:col>23</xdr:col>
      <xdr:colOff>85723</xdr:colOff>
      <xdr:row>0</xdr:row>
      <xdr:rowOff>0</xdr:rowOff>
    </xdr:from>
    <xdr:to>
      <xdr:col>26</xdr:col>
      <xdr:colOff>552448</xdr:colOff>
      <xdr:row>12</xdr:row>
      <xdr:rowOff>9525</xdr:rowOff>
    </xdr:to>
    <xdr:pic>
      <xdr:nvPicPr>
        <xdr:cNvPr id="62" name="Picture 61">
          <a:extLst>
            <a:ext uri="{FF2B5EF4-FFF2-40B4-BE49-F238E27FC236}">
              <a16:creationId xmlns:a16="http://schemas.microsoft.com/office/drawing/2014/main" id="{1A257002-8D3C-4A9E-B117-48A2CCBE6DA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106523" y="0"/>
          <a:ext cx="2295525" cy="2295525"/>
        </a:xfrm>
        <a:prstGeom prst="rect">
          <a:avLst/>
        </a:prstGeom>
      </xdr:spPr>
    </xdr:pic>
    <xdr:clientData/>
  </xdr:twoCellAnchor>
  <xdr:twoCellAnchor>
    <xdr:from>
      <xdr:col>2</xdr:col>
      <xdr:colOff>209549</xdr:colOff>
      <xdr:row>10</xdr:row>
      <xdr:rowOff>123825</xdr:rowOff>
    </xdr:from>
    <xdr:to>
      <xdr:col>3</xdr:col>
      <xdr:colOff>285749</xdr:colOff>
      <xdr:row>13</xdr:row>
      <xdr:rowOff>171450</xdr:rowOff>
    </xdr:to>
    <xdr:sp macro="" textlink="">
      <xdr:nvSpPr>
        <xdr:cNvPr id="63" name="Rectangle: Rounded Corners 62">
          <a:hlinkClick xmlns:r="http://schemas.openxmlformats.org/officeDocument/2006/relationships" r:id="rId3"/>
          <a:extLst>
            <a:ext uri="{FF2B5EF4-FFF2-40B4-BE49-F238E27FC236}">
              <a16:creationId xmlns:a16="http://schemas.microsoft.com/office/drawing/2014/main" id="{A88864F7-83CF-4C93-B52A-B252D363EDB4}"/>
            </a:ext>
          </a:extLst>
        </xdr:cNvPr>
        <xdr:cNvSpPr/>
      </xdr:nvSpPr>
      <xdr:spPr>
        <a:xfrm>
          <a:off x="1428749" y="2028825"/>
          <a:ext cx="685800" cy="619125"/>
        </a:xfrm>
        <a:prstGeom prst="roundRect">
          <a:avLst/>
        </a:prstGeom>
        <a:solidFill>
          <a:srgbClr val="71BD44"/>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latin typeface="Times New Roman" panose="02020603050405020304" pitchFamily="18" charset="0"/>
              <a:cs typeface="Times New Roman" panose="02020603050405020304" pitchFamily="18" charset="0"/>
            </a:rPr>
            <a:t>Tab1</a:t>
          </a:r>
        </a:p>
      </xdr:txBody>
    </xdr:sp>
    <xdr:clientData/>
  </xdr:twoCellAnchor>
  <xdr:twoCellAnchor>
    <xdr:from>
      <xdr:col>3</xdr:col>
      <xdr:colOff>428624</xdr:colOff>
      <xdr:row>10</xdr:row>
      <xdr:rowOff>123825</xdr:rowOff>
    </xdr:from>
    <xdr:to>
      <xdr:col>4</xdr:col>
      <xdr:colOff>504824</xdr:colOff>
      <xdr:row>13</xdr:row>
      <xdr:rowOff>171450</xdr:rowOff>
    </xdr:to>
    <xdr:sp macro="" textlink="">
      <xdr:nvSpPr>
        <xdr:cNvPr id="64" name="Rectangle: Rounded Corners 63">
          <a:hlinkClick xmlns:r="http://schemas.openxmlformats.org/officeDocument/2006/relationships" r:id="rId4"/>
          <a:extLst>
            <a:ext uri="{FF2B5EF4-FFF2-40B4-BE49-F238E27FC236}">
              <a16:creationId xmlns:a16="http://schemas.microsoft.com/office/drawing/2014/main" id="{B32F32D8-092A-4DBD-9381-8CE54295CAFA}"/>
            </a:ext>
          </a:extLst>
        </xdr:cNvPr>
        <xdr:cNvSpPr/>
      </xdr:nvSpPr>
      <xdr:spPr>
        <a:xfrm>
          <a:off x="2257424" y="2028825"/>
          <a:ext cx="685800" cy="619125"/>
        </a:xfrm>
        <a:prstGeom prst="roundRect">
          <a:avLst/>
        </a:prstGeom>
        <a:solidFill>
          <a:srgbClr val="71BD44"/>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latin typeface="Times New Roman" panose="02020603050405020304" pitchFamily="18" charset="0"/>
              <a:cs typeface="Times New Roman" panose="02020603050405020304" pitchFamily="18" charset="0"/>
            </a:rPr>
            <a:t>Tab2</a:t>
          </a:r>
        </a:p>
      </xdr:txBody>
    </xdr:sp>
    <xdr:clientData/>
  </xdr:twoCellAnchor>
  <xdr:twoCellAnchor editAs="oneCell">
    <xdr:from>
      <xdr:col>2</xdr:col>
      <xdr:colOff>66674</xdr:colOff>
      <xdr:row>15</xdr:row>
      <xdr:rowOff>38101</xdr:rowOff>
    </xdr:from>
    <xdr:to>
      <xdr:col>5</xdr:col>
      <xdr:colOff>66674</xdr:colOff>
      <xdr:row>18</xdr:row>
      <xdr:rowOff>123827</xdr:rowOff>
    </xdr:to>
    <mc:AlternateContent xmlns:mc="http://schemas.openxmlformats.org/markup-compatibility/2006" xmlns:a14="http://schemas.microsoft.com/office/drawing/2010/main">
      <mc:Choice Requires="a14">
        <xdr:graphicFrame macro="">
          <xdr:nvGraphicFramePr>
            <xdr:cNvPr id="65" name="Sales Person 1">
              <a:extLst>
                <a:ext uri="{FF2B5EF4-FFF2-40B4-BE49-F238E27FC236}">
                  <a16:creationId xmlns:a16="http://schemas.microsoft.com/office/drawing/2014/main" id="{85533451-977E-47A2-A9B3-4137DD104C22}"/>
                </a:ext>
              </a:extLst>
            </xdr:cNvPr>
            <xdr:cNvGraphicFramePr/>
          </xdr:nvGraphicFramePr>
          <xdr:xfrm>
            <a:off x="0" y="0"/>
            <a:ext cx="0" cy="0"/>
          </xdr:xfrm>
          <a:graphic>
            <a:graphicData uri="http://schemas.microsoft.com/office/drawing/2010/slicer">
              <sle:slicer xmlns:sle="http://schemas.microsoft.com/office/drawing/2010/slicer" name="Sales Person 1"/>
            </a:graphicData>
          </a:graphic>
        </xdr:graphicFrame>
      </mc:Choice>
      <mc:Fallback xmlns="">
        <xdr:sp macro="" textlink="">
          <xdr:nvSpPr>
            <xdr:cNvPr id="0" name=""/>
            <xdr:cNvSpPr>
              <a:spLocks noTextEdit="1"/>
            </xdr:cNvSpPr>
          </xdr:nvSpPr>
          <xdr:spPr>
            <a:xfrm>
              <a:off x="1285874" y="2895601"/>
              <a:ext cx="1828800" cy="6572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76199</xdr:colOff>
      <xdr:row>27</xdr:row>
      <xdr:rowOff>123825</xdr:rowOff>
    </xdr:from>
    <xdr:to>
      <xdr:col>5</xdr:col>
      <xdr:colOff>76199</xdr:colOff>
      <xdr:row>30</xdr:row>
      <xdr:rowOff>180975</xdr:rowOff>
    </xdr:to>
    <mc:AlternateContent xmlns:mc="http://schemas.openxmlformats.org/markup-compatibility/2006" xmlns:a14="http://schemas.microsoft.com/office/drawing/2010/main">
      <mc:Choice Requires="a14">
        <xdr:graphicFrame macro="">
          <xdr:nvGraphicFramePr>
            <xdr:cNvPr id="66" name="Product 1">
              <a:extLst>
                <a:ext uri="{FF2B5EF4-FFF2-40B4-BE49-F238E27FC236}">
                  <a16:creationId xmlns:a16="http://schemas.microsoft.com/office/drawing/2014/main" id="{63B26429-64E4-47F1-B0B2-55C1845F9837}"/>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295399" y="5267325"/>
              <a:ext cx="1828800" cy="628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85724</xdr:colOff>
      <xdr:row>23</xdr:row>
      <xdr:rowOff>104775</xdr:rowOff>
    </xdr:from>
    <xdr:to>
      <xdr:col>5</xdr:col>
      <xdr:colOff>85724</xdr:colOff>
      <xdr:row>26</xdr:row>
      <xdr:rowOff>171450</xdr:rowOff>
    </xdr:to>
    <mc:AlternateContent xmlns:mc="http://schemas.openxmlformats.org/markup-compatibility/2006" xmlns:a14="http://schemas.microsoft.com/office/drawing/2010/main">
      <mc:Choice Requires="a14">
        <xdr:graphicFrame macro="">
          <xdr:nvGraphicFramePr>
            <xdr:cNvPr id="67" name="Country 1">
              <a:extLst>
                <a:ext uri="{FF2B5EF4-FFF2-40B4-BE49-F238E27FC236}">
                  <a16:creationId xmlns:a16="http://schemas.microsoft.com/office/drawing/2014/main" id="{B3335B7F-077B-4CDD-BEE4-03B9EE85D342}"/>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304924" y="4486275"/>
              <a:ext cx="1828800" cy="638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76199</xdr:colOff>
      <xdr:row>19</xdr:row>
      <xdr:rowOff>95250</xdr:rowOff>
    </xdr:from>
    <xdr:to>
      <xdr:col>5</xdr:col>
      <xdr:colOff>76199</xdr:colOff>
      <xdr:row>22</xdr:row>
      <xdr:rowOff>171450</xdr:rowOff>
    </xdr:to>
    <mc:AlternateContent xmlns:mc="http://schemas.openxmlformats.org/markup-compatibility/2006" xmlns:a14="http://schemas.microsoft.com/office/drawing/2010/main">
      <mc:Choice Requires="a14">
        <xdr:graphicFrame macro="">
          <xdr:nvGraphicFramePr>
            <xdr:cNvPr id="68" name="Months 1">
              <a:extLst>
                <a:ext uri="{FF2B5EF4-FFF2-40B4-BE49-F238E27FC236}">
                  <a16:creationId xmlns:a16="http://schemas.microsoft.com/office/drawing/2014/main" id="{A77612CD-A97D-4240-803C-04C3E72B33C5}"/>
                </a:ext>
              </a:extLst>
            </xdr:cNvPr>
            <xdr:cNvGraphicFramePr/>
          </xdr:nvGraphicFramePr>
          <xdr:xfrm>
            <a:off x="0" y="0"/>
            <a:ext cx="0" cy="0"/>
          </xdr:xfrm>
          <a:graphic>
            <a:graphicData uri="http://schemas.microsoft.com/office/drawing/2010/slicer">
              <sle:slicer xmlns:sle="http://schemas.microsoft.com/office/drawing/2010/slicer" name="Months 1"/>
            </a:graphicData>
          </a:graphic>
        </xdr:graphicFrame>
      </mc:Choice>
      <mc:Fallback xmlns="">
        <xdr:sp macro="" textlink="">
          <xdr:nvSpPr>
            <xdr:cNvPr id="0" name=""/>
            <xdr:cNvSpPr>
              <a:spLocks noTextEdit="1"/>
            </xdr:cNvSpPr>
          </xdr:nvSpPr>
          <xdr:spPr>
            <a:xfrm>
              <a:off x="1295399" y="3714750"/>
              <a:ext cx="1828800" cy="647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66674</xdr:colOff>
      <xdr:row>31</xdr:row>
      <xdr:rowOff>142875</xdr:rowOff>
    </xdr:from>
    <xdr:to>
      <xdr:col>5</xdr:col>
      <xdr:colOff>66674</xdr:colOff>
      <xdr:row>34</xdr:row>
      <xdr:rowOff>161925</xdr:rowOff>
    </xdr:to>
    <mc:AlternateContent xmlns:mc="http://schemas.openxmlformats.org/markup-compatibility/2006" xmlns:a14="http://schemas.microsoft.com/office/drawing/2010/main">
      <mc:Choice Requires="a14">
        <xdr:graphicFrame macro="">
          <xdr:nvGraphicFramePr>
            <xdr:cNvPr id="69" name="Date  1">
              <a:extLst>
                <a:ext uri="{FF2B5EF4-FFF2-40B4-BE49-F238E27FC236}">
                  <a16:creationId xmlns:a16="http://schemas.microsoft.com/office/drawing/2014/main" id="{2C45452D-2D4D-4E75-95F4-FFCD2D6C9A72}"/>
                </a:ext>
              </a:extLst>
            </xdr:cNvPr>
            <xdr:cNvGraphicFramePr/>
          </xdr:nvGraphicFramePr>
          <xdr:xfrm>
            <a:off x="0" y="0"/>
            <a:ext cx="0" cy="0"/>
          </xdr:xfrm>
          <a:graphic>
            <a:graphicData uri="http://schemas.microsoft.com/office/drawing/2010/slicer">
              <sle:slicer xmlns:sle="http://schemas.microsoft.com/office/drawing/2010/slicer" name="Date  1"/>
            </a:graphicData>
          </a:graphic>
        </xdr:graphicFrame>
      </mc:Choice>
      <mc:Fallback xmlns="">
        <xdr:sp macro="" textlink="">
          <xdr:nvSpPr>
            <xdr:cNvPr id="0" name=""/>
            <xdr:cNvSpPr>
              <a:spLocks noTextEdit="1"/>
            </xdr:cNvSpPr>
          </xdr:nvSpPr>
          <xdr:spPr>
            <a:xfrm>
              <a:off x="1285874" y="6048375"/>
              <a:ext cx="1828800" cy="590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19049</xdr:colOff>
      <xdr:row>0</xdr:row>
      <xdr:rowOff>142875</xdr:rowOff>
    </xdr:from>
    <xdr:to>
      <xdr:col>21</xdr:col>
      <xdr:colOff>66674</xdr:colOff>
      <xdr:row>10</xdr:row>
      <xdr:rowOff>76200</xdr:rowOff>
    </xdr:to>
    <xdr:sp macro="" textlink="">
      <xdr:nvSpPr>
        <xdr:cNvPr id="70" name="Flowchart: Off-page Connector 69">
          <a:extLst>
            <a:ext uri="{FF2B5EF4-FFF2-40B4-BE49-F238E27FC236}">
              <a16:creationId xmlns:a16="http://schemas.microsoft.com/office/drawing/2014/main" id="{A68C0668-1EF7-48B3-AB61-F34D71D33278}"/>
            </a:ext>
          </a:extLst>
        </xdr:cNvPr>
        <xdr:cNvSpPr/>
      </xdr:nvSpPr>
      <xdr:spPr>
        <a:xfrm>
          <a:off x="11601449" y="142875"/>
          <a:ext cx="1266825" cy="1838325"/>
        </a:xfrm>
        <a:prstGeom prst="flowChartOffpageConnector">
          <a:avLst/>
        </a:prstGeom>
        <a:solidFill>
          <a:schemeClr val="bg1"/>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rgbClr val="71BD44"/>
              </a:solidFill>
              <a:latin typeface="Times New Roman" panose="02020603050405020304" pitchFamily="18" charset="0"/>
              <a:cs typeface="Times New Roman" panose="02020603050405020304" pitchFamily="18" charset="0"/>
            </a:rPr>
            <a:t>TS</a:t>
          </a:r>
          <a:r>
            <a:rPr lang="en-US" sz="1400" b="1" baseline="0">
              <a:solidFill>
                <a:srgbClr val="71BD44"/>
              </a:solidFill>
              <a:latin typeface="Times New Roman" panose="02020603050405020304" pitchFamily="18" charset="0"/>
              <a:cs typeface="Times New Roman" panose="02020603050405020304" pitchFamily="18" charset="0"/>
            </a:rPr>
            <a:t> Nhân Viên</a:t>
          </a:r>
          <a:endParaRPr lang="en-US" sz="1400" b="1">
            <a:solidFill>
              <a:srgbClr val="71BD44"/>
            </a:solidFill>
            <a:latin typeface="Times New Roman" panose="02020603050405020304" pitchFamily="18" charset="0"/>
            <a:cs typeface="Times New Roman" panose="02020603050405020304" pitchFamily="18" charset="0"/>
          </a:endParaRPr>
        </a:p>
      </xdr:txBody>
    </xdr:sp>
    <xdr:clientData/>
  </xdr:twoCellAnchor>
  <xdr:twoCellAnchor>
    <xdr:from>
      <xdr:col>21</xdr:col>
      <xdr:colOff>285749</xdr:colOff>
      <xdr:row>0</xdr:row>
      <xdr:rowOff>152400</xdr:rowOff>
    </xdr:from>
    <xdr:to>
      <xdr:col>23</xdr:col>
      <xdr:colOff>295274</xdr:colOff>
      <xdr:row>10</xdr:row>
      <xdr:rowOff>85725</xdr:rowOff>
    </xdr:to>
    <xdr:sp macro="" textlink="">
      <xdr:nvSpPr>
        <xdr:cNvPr id="71" name="Flowchart: Off-page Connector 70">
          <a:extLst>
            <a:ext uri="{FF2B5EF4-FFF2-40B4-BE49-F238E27FC236}">
              <a16:creationId xmlns:a16="http://schemas.microsoft.com/office/drawing/2014/main" id="{0776D463-2F14-46BF-8DCD-8E62BD030126}"/>
            </a:ext>
          </a:extLst>
        </xdr:cNvPr>
        <xdr:cNvSpPr/>
      </xdr:nvSpPr>
      <xdr:spPr>
        <a:xfrm>
          <a:off x="13087349" y="152400"/>
          <a:ext cx="1228725" cy="1838325"/>
        </a:xfrm>
        <a:prstGeom prst="flowChartOffpageConnector">
          <a:avLst/>
        </a:prstGeom>
        <a:solidFill>
          <a:schemeClr val="bg1"/>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rgbClr val="71BD44"/>
              </a:solidFill>
              <a:latin typeface="Times New Roman" panose="02020603050405020304" pitchFamily="18" charset="0"/>
              <a:cs typeface="Times New Roman" panose="02020603050405020304" pitchFamily="18" charset="0"/>
            </a:rPr>
            <a:t>TS</a:t>
          </a:r>
          <a:r>
            <a:rPr lang="en-US" sz="1400" b="1" baseline="0">
              <a:solidFill>
                <a:srgbClr val="71BD44"/>
              </a:solidFill>
              <a:latin typeface="Times New Roman" panose="02020603050405020304" pitchFamily="18" charset="0"/>
              <a:cs typeface="Times New Roman" panose="02020603050405020304" pitchFamily="18" charset="0"/>
            </a:rPr>
            <a:t> Mặt Hàng</a:t>
          </a:r>
          <a:endParaRPr lang="en-US" sz="1400" b="1">
            <a:solidFill>
              <a:srgbClr val="71BD44"/>
            </a:solidFill>
            <a:latin typeface="Times New Roman" panose="02020603050405020304" pitchFamily="18" charset="0"/>
            <a:cs typeface="Times New Roman" panose="02020603050405020304" pitchFamily="18" charset="0"/>
          </a:endParaRPr>
        </a:p>
      </xdr:txBody>
    </xdr:sp>
    <xdr:clientData/>
  </xdr:twoCellAnchor>
  <xdr:oneCellAnchor>
    <xdr:from>
      <xdr:col>19</xdr:col>
      <xdr:colOff>476249</xdr:colOff>
      <xdr:row>3</xdr:row>
      <xdr:rowOff>47625</xdr:rowOff>
    </xdr:from>
    <xdr:ext cx="364202" cy="505203"/>
    <xdr:sp macro="" textlink="">
      <xdr:nvSpPr>
        <xdr:cNvPr id="72" name="TextBox 71">
          <a:extLst>
            <a:ext uri="{FF2B5EF4-FFF2-40B4-BE49-F238E27FC236}">
              <a16:creationId xmlns:a16="http://schemas.microsoft.com/office/drawing/2014/main" id="{0D32C57B-CD2D-4B73-A756-EBC6F0E82EA4}"/>
            </a:ext>
          </a:extLst>
        </xdr:cNvPr>
        <xdr:cNvSpPr txBox="1"/>
      </xdr:nvSpPr>
      <xdr:spPr>
        <a:xfrm>
          <a:off x="12058649" y="619125"/>
          <a:ext cx="364202" cy="5052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800" b="1">
              <a:solidFill>
                <a:srgbClr val="71BD44"/>
              </a:solidFill>
              <a:latin typeface="Times New Roman" panose="02020603050405020304" pitchFamily="18" charset="0"/>
              <a:cs typeface="Times New Roman" panose="02020603050405020304" pitchFamily="18" charset="0"/>
            </a:rPr>
            <a:t>7</a:t>
          </a:r>
        </a:p>
      </xdr:txBody>
    </xdr:sp>
    <xdr:clientData/>
  </xdr:oneCellAnchor>
  <xdr:oneCellAnchor>
    <xdr:from>
      <xdr:col>19</xdr:col>
      <xdr:colOff>95249</xdr:colOff>
      <xdr:row>6</xdr:row>
      <xdr:rowOff>171450</xdr:rowOff>
    </xdr:from>
    <xdr:ext cx="1127232" cy="298800"/>
    <xdr:sp macro="" textlink="">
      <xdr:nvSpPr>
        <xdr:cNvPr id="73" name="TextBox 72">
          <a:extLst>
            <a:ext uri="{FF2B5EF4-FFF2-40B4-BE49-F238E27FC236}">
              <a16:creationId xmlns:a16="http://schemas.microsoft.com/office/drawing/2014/main" id="{CBA8CC0C-BF0E-4641-AD04-DDC8549A5769}"/>
            </a:ext>
          </a:extLst>
        </xdr:cNvPr>
        <xdr:cNvSpPr txBox="1"/>
      </xdr:nvSpPr>
      <xdr:spPr>
        <a:xfrm>
          <a:off x="11677649" y="1314450"/>
          <a:ext cx="1127232"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solidFill>
                <a:srgbClr val="71BD44"/>
              </a:solidFill>
              <a:latin typeface="Times New Roman" panose="02020603050405020304" pitchFamily="18" charset="0"/>
              <a:cs typeface="Times New Roman" panose="02020603050405020304" pitchFamily="18" charset="0"/>
            </a:rPr>
            <a:t>(Nhân</a:t>
          </a:r>
          <a:r>
            <a:rPr lang="en-US" sz="1400" b="1" baseline="0">
              <a:solidFill>
                <a:srgbClr val="71BD44"/>
              </a:solidFill>
              <a:latin typeface="Times New Roman" panose="02020603050405020304" pitchFamily="18" charset="0"/>
              <a:cs typeface="Times New Roman" panose="02020603050405020304" pitchFamily="18" charset="0"/>
            </a:rPr>
            <a:t> Viên)</a:t>
          </a:r>
          <a:endParaRPr lang="en-US" sz="1400" b="1">
            <a:solidFill>
              <a:srgbClr val="71BD44"/>
            </a:solidFill>
            <a:latin typeface="Times New Roman" panose="02020603050405020304" pitchFamily="18" charset="0"/>
            <a:cs typeface="Times New Roman" panose="02020603050405020304" pitchFamily="18" charset="0"/>
          </a:endParaRPr>
        </a:p>
      </xdr:txBody>
    </xdr:sp>
    <xdr:clientData/>
  </xdr:oneCellAnchor>
  <xdr:oneCellAnchor>
    <xdr:from>
      <xdr:col>22</xdr:col>
      <xdr:colOff>114299</xdr:colOff>
      <xdr:row>3</xdr:row>
      <xdr:rowOff>66675</xdr:rowOff>
    </xdr:from>
    <xdr:ext cx="364202" cy="505203"/>
    <xdr:sp macro="" textlink="">
      <xdr:nvSpPr>
        <xdr:cNvPr id="74" name="TextBox 73">
          <a:extLst>
            <a:ext uri="{FF2B5EF4-FFF2-40B4-BE49-F238E27FC236}">
              <a16:creationId xmlns:a16="http://schemas.microsoft.com/office/drawing/2014/main" id="{89D15B7A-940D-44AE-B593-B31FA334AE19}"/>
            </a:ext>
          </a:extLst>
        </xdr:cNvPr>
        <xdr:cNvSpPr txBox="1"/>
      </xdr:nvSpPr>
      <xdr:spPr>
        <a:xfrm>
          <a:off x="13525499" y="638175"/>
          <a:ext cx="364202" cy="5052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800" b="1">
              <a:solidFill>
                <a:srgbClr val="71BD44"/>
              </a:solidFill>
              <a:latin typeface="Times New Roman" panose="02020603050405020304" pitchFamily="18" charset="0"/>
              <a:cs typeface="Times New Roman" panose="02020603050405020304" pitchFamily="18" charset="0"/>
            </a:rPr>
            <a:t>7</a:t>
          </a:r>
        </a:p>
      </xdr:txBody>
    </xdr:sp>
    <xdr:clientData/>
  </xdr:oneCellAnchor>
  <xdr:oneCellAnchor>
    <xdr:from>
      <xdr:col>21</xdr:col>
      <xdr:colOff>400049</xdr:colOff>
      <xdr:row>7</xdr:row>
      <xdr:rowOff>0</xdr:rowOff>
    </xdr:from>
    <xdr:ext cx="1047274" cy="298800"/>
    <xdr:sp macro="" textlink="">
      <xdr:nvSpPr>
        <xdr:cNvPr id="75" name="TextBox 74">
          <a:extLst>
            <a:ext uri="{FF2B5EF4-FFF2-40B4-BE49-F238E27FC236}">
              <a16:creationId xmlns:a16="http://schemas.microsoft.com/office/drawing/2014/main" id="{112467CF-EF00-481D-844F-B8308E280075}"/>
            </a:ext>
          </a:extLst>
        </xdr:cNvPr>
        <xdr:cNvSpPr txBox="1"/>
      </xdr:nvSpPr>
      <xdr:spPr>
        <a:xfrm>
          <a:off x="13201649" y="1333500"/>
          <a:ext cx="1047274"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solidFill>
                <a:srgbClr val="71BD44"/>
              </a:solidFill>
              <a:latin typeface="Times New Roman" panose="02020603050405020304" pitchFamily="18" charset="0"/>
              <a:cs typeface="Times New Roman" panose="02020603050405020304" pitchFamily="18" charset="0"/>
            </a:rPr>
            <a:t>(Mặt</a:t>
          </a:r>
          <a:r>
            <a:rPr lang="en-US" sz="1400" b="1" baseline="0">
              <a:solidFill>
                <a:srgbClr val="71BD44"/>
              </a:solidFill>
              <a:latin typeface="Times New Roman" panose="02020603050405020304" pitchFamily="18" charset="0"/>
              <a:cs typeface="Times New Roman" panose="02020603050405020304" pitchFamily="18" charset="0"/>
            </a:rPr>
            <a:t> hàng</a:t>
          </a:r>
          <a:r>
            <a:rPr lang="en-US" sz="1400" b="1">
              <a:solidFill>
                <a:srgbClr val="71BD44"/>
              </a:solidFill>
              <a:latin typeface="Times New Roman" panose="02020603050405020304" pitchFamily="18" charset="0"/>
              <a:cs typeface="Times New Roman" panose="02020603050405020304" pitchFamily="18" charset="0"/>
            </a:rPr>
            <a:t>)</a:t>
          </a:r>
        </a:p>
      </xdr:txBody>
    </xdr:sp>
    <xdr:clientData/>
  </xdr:oneCellAnchor>
  <xdr:twoCellAnchor>
    <xdr:from>
      <xdr:col>5</xdr:col>
      <xdr:colOff>409575</xdr:colOff>
      <xdr:row>11</xdr:row>
      <xdr:rowOff>76200</xdr:rowOff>
    </xdr:from>
    <xdr:to>
      <xdr:col>12</xdr:col>
      <xdr:colOff>66675</xdr:colOff>
      <xdr:row>23</xdr:row>
      <xdr:rowOff>57150</xdr:rowOff>
    </xdr:to>
    <xdr:graphicFrame macro="">
      <xdr:nvGraphicFramePr>
        <xdr:cNvPr id="78" name="Chart 77">
          <a:extLst>
            <a:ext uri="{FF2B5EF4-FFF2-40B4-BE49-F238E27FC236}">
              <a16:creationId xmlns:a16="http://schemas.microsoft.com/office/drawing/2014/main" id="{52D91D40-AFFE-4123-BC25-11FE05B13B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390525</xdr:colOff>
      <xdr:row>23</xdr:row>
      <xdr:rowOff>123825</xdr:rowOff>
    </xdr:from>
    <xdr:to>
      <xdr:col>12</xdr:col>
      <xdr:colOff>66675</xdr:colOff>
      <xdr:row>36</xdr:row>
      <xdr:rowOff>38100</xdr:rowOff>
    </xdr:to>
    <xdr:graphicFrame macro="">
      <xdr:nvGraphicFramePr>
        <xdr:cNvPr id="79" name="Chart 78">
          <a:extLst>
            <a:ext uri="{FF2B5EF4-FFF2-40B4-BE49-F238E27FC236}">
              <a16:creationId xmlns:a16="http://schemas.microsoft.com/office/drawing/2014/main" id="{7D224FB6-0ED0-43C5-88D6-7E387C573E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152399</xdr:colOff>
      <xdr:row>23</xdr:row>
      <xdr:rowOff>123824</xdr:rowOff>
    </xdr:from>
    <xdr:to>
      <xdr:col>18</xdr:col>
      <xdr:colOff>219074</xdr:colOff>
      <xdr:row>36</xdr:row>
      <xdr:rowOff>28575</xdr:rowOff>
    </xdr:to>
    <xdr:graphicFrame macro="">
      <xdr:nvGraphicFramePr>
        <xdr:cNvPr id="80" name="Chart 79">
          <a:extLst>
            <a:ext uri="{FF2B5EF4-FFF2-40B4-BE49-F238E27FC236}">
              <a16:creationId xmlns:a16="http://schemas.microsoft.com/office/drawing/2014/main" id="{F6879F49-68BE-4443-99CC-40983BD1B6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152400</xdr:colOff>
      <xdr:row>11</xdr:row>
      <xdr:rowOff>95249</xdr:rowOff>
    </xdr:from>
    <xdr:to>
      <xdr:col>18</xdr:col>
      <xdr:colOff>209550</xdr:colOff>
      <xdr:row>23</xdr:row>
      <xdr:rowOff>38100</xdr:rowOff>
    </xdr:to>
    <xdr:graphicFrame macro="">
      <xdr:nvGraphicFramePr>
        <xdr:cNvPr id="81" name="Chart 80">
          <a:extLst>
            <a:ext uri="{FF2B5EF4-FFF2-40B4-BE49-F238E27FC236}">
              <a16:creationId xmlns:a16="http://schemas.microsoft.com/office/drawing/2014/main" id="{A0EB5531-00A6-46D5-A097-7EF73F13B0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409575</xdr:colOff>
      <xdr:row>3</xdr:row>
      <xdr:rowOff>142875</xdr:rowOff>
    </xdr:from>
    <xdr:to>
      <xdr:col>18</xdr:col>
      <xdr:colOff>219074</xdr:colOff>
      <xdr:row>11</xdr:row>
      <xdr:rowOff>9525</xdr:rowOff>
    </xdr:to>
    <xdr:graphicFrame macro="">
      <xdr:nvGraphicFramePr>
        <xdr:cNvPr id="82" name="Chart 81">
          <a:extLst>
            <a:ext uri="{FF2B5EF4-FFF2-40B4-BE49-F238E27FC236}">
              <a16:creationId xmlns:a16="http://schemas.microsoft.com/office/drawing/2014/main" id="{B41A1F1D-B2B7-4E5E-86B8-A563E1D301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295275</xdr:colOff>
      <xdr:row>23</xdr:row>
      <xdr:rowOff>133349</xdr:rowOff>
    </xdr:from>
    <xdr:to>
      <xdr:col>26</xdr:col>
      <xdr:colOff>333375</xdr:colOff>
      <xdr:row>36</xdr:row>
      <xdr:rowOff>28575</xdr:rowOff>
    </xdr:to>
    <xdr:graphicFrame macro="">
      <xdr:nvGraphicFramePr>
        <xdr:cNvPr id="83" name="Chart 82">
          <a:extLst>
            <a:ext uri="{FF2B5EF4-FFF2-40B4-BE49-F238E27FC236}">
              <a16:creationId xmlns:a16="http://schemas.microsoft.com/office/drawing/2014/main" id="{98017B03-B6A8-4B17-B621-585F227EB9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18</xdr:col>
      <xdr:colOff>285750</xdr:colOff>
      <xdr:row>11</xdr:row>
      <xdr:rowOff>95250</xdr:rowOff>
    </xdr:from>
    <xdr:to>
      <xdr:col>26</xdr:col>
      <xdr:colOff>323850</xdr:colOff>
      <xdr:row>23</xdr:row>
      <xdr:rowOff>38099</xdr:rowOff>
    </xdr:to>
    <mc:AlternateContent xmlns:mc="http://schemas.openxmlformats.org/markup-compatibility/2006">
      <mc:Choice xmlns:cx1="http://schemas.microsoft.com/office/drawing/2015/9/8/chartex" Requires="cx1">
        <xdr:graphicFrame macro="">
          <xdr:nvGraphicFramePr>
            <xdr:cNvPr id="84" name="Chart 83">
              <a:extLst>
                <a:ext uri="{FF2B5EF4-FFF2-40B4-BE49-F238E27FC236}">
                  <a16:creationId xmlns:a16="http://schemas.microsoft.com/office/drawing/2014/main" id="{F248FBF0-44E0-439E-94E1-78B208DEE5E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11258550" y="2190750"/>
              <a:ext cx="4914900" cy="222884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Victus" refreshedDate="46105.898137037038" createdVersion="7" refreshedVersion="7" minRefreshableVersion="3" recordCount="333" xr:uid="{FA0F0F8A-DAFB-4A05-9610-233DC185B722}">
  <cacheSource type="worksheet">
    <worksheetSource name="Table2"/>
  </cacheSource>
  <cacheFields count="8">
    <cacheField name=" " numFmtId="14">
      <sharedItems containsSemiMixedTypes="0" containsNonDate="0" containsDate="1" containsString="0" minDate="2022-01-02T00:00:00" maxDate="2022-09-01T00:00:00" count="179">
        <d v="2022-02-06T00:00:00"/>
        <d v="2022-02-05T00:00:00"/>
        <d v="2022-02-19T00:00:00"/>
        <d v="2022-03-28T00:00:00"/>
        <d v="2022-01-17T00:00:00"/>
        <d v="2022-02-09T00:00:00"/>
        <d v="2022-06-30T00:00:00"/>
        <d v="2022-07-25T00:00:00"/>
        <d v="2022-03-20T00:00:00"/>
        <d v="2022-01-24T00:00:00"/>
        <d v="2022-04-27T00:00:00"/>
        <d v="2022-02-18T00:00:00"/>
        <d v="2022-06-26T00:00:00"/>
        <d v="2022-06-19T00:00:00"/>
        <d v="2022-06-03T00:00:00"/>
        <d v="2022-04-05T00:00:00"/>
        <d v="2022-04-17T00:00:00"/>
        <d v="2022-02-11T00:00:00"/>
        <d v="2022-01-18T00:00:00"/>
        <d v="2022-05-30T00:00:00"/>
        <d v="2022-06-18T00:00:00"/>
        <d v="2022-07-06T00:00:00"/>
        <d v="2022-05-25T00:00:00"/>
        <d v="2022-04-26T00:00:00"/>
        <d v="2022-07-01T00:00:00"/>
        <d v="2022-08-28T00:00:00"/>
        <d v="2022-07-08T00:00:00"/>
        <d v="2022-02-03T00:00:00"/>
        <d v="2022-03-17T00:00:00"/>
        <d v="2022-06-25T00:00:00"/>
        <d v="2022-06-11T00:00:00"/>
        <d v="2022-03-29T00:00:00"/>
        <d v="2022-03-26T00:00:00"/>
        <d v="2022-07-15T00:00:00"/>
        <d v="2022-07-16T00:00:00"/>
        <d v="2022-05-03T00:00:00"/>
        <d v="2022-06-17T00:00:00"/>
        <d v="2022-04-13T00:00:00"/>
        <d v="2022-07-05T00:00:00"/>
        <d v="2022-08-06T00:00:00"/>
        <d v="2022-04-20T00:00:00"/>
        <d v="2022-05-15T00:00:00"/>
        <d v="2022-01-07T00:00:00"/>
        <d v="2022-05-29T00:00:00"/>
        <d v="2022-03-10T00:00:00"/>
        <d v="2022-05-09T00:00:00"/>
        <d v="2022-07-11T00:00:00"/>
        <d v="2022-04-11T00:00:00"/>
        <d v="2022-01-02T00:00:00"/>
        <d v="2022-06-22T00:00:00"/>
        <d v="2022-08-10T00:00:00"/>
        <d v="2022-07-03T00:00:00"/>
        <d v="2022-03-21T00:00:00"/>
        <d v="2022-04-16T00:00:00"/>
        <d v="2022-08-26T00:00:00"/>
        <d v="2022-04-22T00:00:00"/>
        <d v="2022-06-28T00:00:00"/>
        <d v="2022-06-15T00:00:00"/>
        <d v="2022-04-30T00:00:00"/>
        <d v="2022-01-15T00:00:00"/>
        <d v="2022-08-05T00:00:00"/>
        <d v="2022-05-23T00:00:00"/>
        <d v="2022-04-19T00:00:00"/>
        <d v="2022-08-31T00:00:00"/>
        <d v="2022-08-23T00:00:00"/>
        <d v="2022-03-07T00:00:00"/>
        <d v="2022-02-28T00:00:00"/>
        <d v="2022-07-31T00:00:00"/>
        <d v="2022-05-26T00:00:00"/>
        <d v="2022-02-25T00:00:00"/>
        <d v="2022-06-21T00:00:00"/>
        <d v="2022-08-02T00:00:00"/>
        <d v="2022-05-21T00:00:00"/>
        <d v="2022-03-13T00:00:00"/>
        <d v="2022-06-10T00:00:00"/>
        <d v="2022-08-11T00:00:00"/>
        <d v="2022-06-06T00:00:00"/>
        <d v="2022-07-20T00:00:00"/>
        <d v="2022-02-27T00:00:00"/>
        <d v="2022-05-12T00:00:00"/>
        <d v="2022-03-11T00:00:00"/>
        <d v="2022-05-28T00:00:00"/>
        <d v="2022-01-10T00:00:00"/>
        <d v="2022-01-21T00:00:00"/>
        <d v="2022-05-20T00:00:00"/>
        <d v="2022-07-09T00:00:00"/>
        <d v="2022-05-31T00:00:00"/>
        <d v="2022-05-24T00:00:00"/>
        <d v="2022-04-23T00:00:00"/>
        <d v="2022-03-18T00:00:00"/>
        <d v="2022-08-25T00:00:00"/>
        <d v="2022-03-04T00:00:00"/>
        <d v="2022-03-24T00:00:00"/>
        <d v="2022-03-27T00:00:00"/>
        <d v="2022-05-18T00:00:00"/>
        <d v="2022-05-14T00:00:00"/>
        <d v="2022-02-08T00:00:00"/>
        <d v="2022-02-20T00:00:00"/>
        <d v="2022-08-21T00:00:00"/>
        <d v="2022-07-28T00:00:00"/>
        <d v="2022-05-19T00:00:00"/>
        <d v="2022-08-14T00:00:00"/>
        <d v="2022-04-03T00:00:00"/>
        <d v="2022-06-27T00:00:00"/>
        <d v="2022-01-29T00:00:00"/>
        <d v="2022-07-24T00:00:00"/>
        <d v="2022-03-22T00:00:00"/>
        <d v="2022-05-05T00:00:00"/>
        <d v="2022-07-18T00:00:00"/>
        <d v="2022-07-29T00:00:00"/>
        <d v="2022-04-14T00:00:00"/>
        <d v="2022-06-23T00:00:00"/>
        <d v="2022-06-05T00:00:00"/>
        <d v="2022-01-19T00:00:00"/>
        <d v="2022-05-06T00:00:00"/>
        <d v="2022-03-02T00:00:00"/>
        <d v="2022-02-23T00:00:00"/>
        <d v="2022-07-17T00:00:00"/>
        <d v="2022-04-01T00:00:00"/>
        <d v="2022-08-01T00:00:00"/>
        <d v="2022-02-01T00:00:00"/>
        <d v="2022-02-21T00:00:00"/>
        <d v="2022-04-24T00:00:00"/>
        <d v="2022-06-16T00:00:00"/>
        <d v="2022-07-14T00:00:00"/>
        <d v="2022-07-23T00:00:00"/>
        <d v="2022-07-02T00:00:00"/>
        <d v="2022-03-25T00:00:00"/>
        <d v="2022-01-06T00:00:00"/>
        <d v="2022-07-07T00:00:00"/>
        <d v="2022-05-27T00:00:00"/>
        <d v="2022-07-27T00:00:00"/>
        <d v="2022-05-17T00:00:00"/>
        <d v="2022-01-11T00:00:00"/>
        <d v="2022-06-09T00:00:00"/>
        <d v="2022-06-02T00:00:00"/>
        <d v="2022-07-10T00:00:00"/>
        <d v="2022-02-14T00:00:00"/>
        <d v="2022-05-04T00:00:00"/>
        <d v="2022-08-17T00:00:00"/>
        <d v="2022-01-08T00:00:00"/>
        <d v="2022-04-08T00:00:00"/>
        <d v="2022-08-04T00:00:00"/>
        <d v="2022-08-19T00:00:00"/>
        <d v="2022-07-13T00:00:00"/>
        <d v="2022-08-13T00:00:00"/>
        <d v="2022-08-27T00:00:00"/>
        <d v="2022-04-29T00:00:00"/>
        <d v="2022-06-07T00:00:00"/>
        <d v="2022-01-31T00:00:00"/>
        <d v="2022-01-26T00:00:00"/>
        <d v="2022-01-14T00:00:00"/>
        <d v="2022-03-23T00:00:00"/>
        <d v="2022-08-03T00:00:00"/>
        <d v="2022-01-28T00:00:00"/>
        <d v="2022-01-16T00:00:00"/>
        <d v="2022-02-02T00:00:00"/>
        <d v="2022-05-02T00:00:00"/>
        <d v="2022-05-13T00:00:00"/>
        <d v="2022-02-12T00:00:00"/>
        <d v="2022-03-14T00:00:00"/>
        <d v="2022-03-03T00:00:00"/>
        <d v="2022-01-13T00:00:00"/>
        <d v="2022-01-27T00:00:00"/>
        <d v="2022-02-13T00:00:00"/>
        <d v="2022-02-16T00:00:00"/>
        <d v="2022-08-22T00:00:00"/>
        <d v="2022-03-16T00:00:00"/>
        <d v="2022-07-26T00:00:00"/>
        <d v="2022-08-12T00:00:00"/>
        <d v="2022-06-04T00:00:00"/>
        <d v="2022-01-22T00:00:00"/>
        <d v="2022-07-22T00:00:00"/>
        <d v="2022-05-16T00:00:00"/>
        <d v="2022-03-09T00:00:00"/>
        <d v="2022-04-25T00:00:00"/>
        <d v="2022-08-29T00:00:00"/>
        <d v="2022-04-12T00:00:00"/>
        <d v="2022-01-05T00:00:00"/>
      </sharedItems>
      <fieldGroup par="7" base="0">
        <rangePr groupBy="days" startDate="2022-01-02T00:00:00" endDate="2022-09-01T00:00:00"/>
        <groupItems count="368">
          <s v="&lt;1/2/2022"/>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9/1/2022"/>
        </groupItems>
      </fieldGroup>
    </cacheField>
    <cacheField name="Product" numFmtId="49">
      <sharedItems count="7">
        <s v="Pain Relief Tablets"/>
        <s v="Antiseptic Cream"/>
        <s v="Cough Syrup"/>
        <s v="Digestive Enzyme"/>
        <s v="Eye Drops"/>
        <s v="Nasal Spray"/>
        <s v="Allergy Pills"/>
      </sharedItems>
    </cacheField>
    <cacheField name="Sales Person" numFmtId="49">
      <sharedItems count="7">
        <s v="Divya Mehra"/>
        <s v="Nikhil Batra"/>
        <s v="Ritika Shah"/>
        <s v="Priya Singh"/>
        <s v="Sneha Iyer"/>
        <s v="Rajesh Patel"/>
        <s v="Aman Verma"/>
      </sharedItems>
    </cacheField>
    <cacheField name="Boxes Shipped" numFmtId="2">
      <sharedItems containsSemiMixedTypes="0" containsString="0" containsNumber="1" containsInteger="1" minValue="1" maxValue="20" count="20">
        <n v="7"/>
        <n v="18"/>
        <n v="2"/>
        <n v="5"/>
        <n v="8"/>
        <n v="3"/>
        <n v="13"/>
        <n v="17"/>
        <n v="11"/>
        <n v="12"/>
        <n v="14"/>
        <n v="9"/>
        <n v="15"/>
        <n v="20"/>
        <n v="19"/>
        <n v="1"/>
        <n v="10"/>
        <n v="16"/>
        <n v="4"/>
        <n v="6"/>
      </sharedItems>
      <fieldGroup base="3">
        <rangePr startNum="1" endNum="20" groupInterval="2"/>
        <groupItems count="12">
          <s v="&lt;1"/>
          <s v="1-2"/>
          <s v="3-4"/>
          <s v="5-6"/>
          <s v="7-8"/>
          <s v="9-10"/>
          <s v="11-12"/>
          <s v="13-14"/>
          <s v="15-16"/>
          <s v="17-18"/>
          <s v="19-20"/>
          <s v="&gt;21"/>
        </groupItems>
      </fieldGroup>
    </cacheField>
    <cacheField name="Amount ($)" numFmtId="164">
      <sharedItems containsSemiMixedTypes="0" containsString="0" containsNumber="1" minValue="8.09" maxValue="494.08" count="332">
        <n v="67.430000000000007"/>
        <n v="421.46"/>
        <n v="48.25"/>
        <n v="59.89"/>
        <n v="147.72999999999999"/>
        <n v="400.87"/>
        <n v="50.35"/>
        <n v="282.43"/>
        <n v="394.01"/>
        <n v="89.29"/>
        <n v="150.72999999999999"/>
        <n v="63.41"/>
        <n v="175.89"/>
        <n v="296.97000000000003"/>
        <n v="177.75"/>
        <n v="285.08999999999997"/>
        <n v="277.22000000000003"/>
        <n v="175.18"/>
        <n v="192.16"/>
        <n v="123.12"/>
        <n v="238.86"/>
        <n v="272.37"/>
        <n v="82.86"/>
        <n v="447.21"/>
        <n v="9.98"/>
        <n v="101.4"/>
        <n v="206.79"/>
        <n v="153.08000000000001"/>
        <n v="411.44"/>
        <n v="46.92"/>
        <n v="42.85"/>
        <n v="40.17"/>
        <n v="243.79"/>
        <n v="44.86"/>
        <n v="288.39999999999998"/>
        <n v="137.02000000000001"/>
        <n v="228.69"/>
        <n v="287.52999999999997"/>
        <n v="294.16000000000003"/>
        <n v="217.38"/>
        <n v="232.97"/>
        <n v="34.74"/>
        <n v="152.22999999999999"/>
        <n v="197.71"/>
        <n v="161.56"/>
        <n v="339.11"/>
        <n v="11.64"/>
        <n v="36.54"/>
        <n v="163.57"/>
        <n v="221.08"/>
        <n v="201.96"/>
        <n v="134.24"/>
        <n v="85.5"/>
        <n v="42.45"/>
        <n v="43.61"/>
        <n v="134.53"/>
        <n v="141.33000000000001"/>
        <n v="336.53"/>
        <n v="470.78"/>
        <n v="163.03"/>
        <n v="88.38"/>
        <n v="127.82"/>
        <n v="30.78"/>
        <n v="211.91"/>
        <n v="34.090000000000003"/>
        <n v="158.69"/>
        <n v="355.23"/>
        <n v="202.58"/>
        <n v="245.9"/>
        <n v="270.74"/>
        <n v="88.84"/>
        <n v="433.81"/>
        <n v="29.63"/>
        <n v="334.05"/>
        <n v="52.1"/>
        <n v="51.97"/>
        <n v="324.2"/>
        <n v="155.31"/>
        <n v="205.85"/>
        <n v="64.28"/>
        <n v="8.09"/>
        <n v="213.75"/>
        <n v="244.76"/>
        <n v="316.79000000000002"/>
        <n v="219.72"/>
        <n v="371.23"/>
        <n v="242.44"/>
        <n v="214.09"/>
        <n v="183.48"/>
        <n v="272.97000000000003"/>
        <n v="129.30000000000001"/>
        <n v="59.7"/>
        <n v="210.82"/>
        <n v="115.79"/>
        <n v="322.41000000000003"/>
        <n v="73.39"/>
        <n v="50.12"/>
        <n v="45.16"/>
        <n v="212.81"/>
        <n v="192.59"/>
        <n v="36.56"/>
        <n v="244.66"/>
        <n v="281.12"/>
        <n v="161.94999999999999"/>
        <n v="180.5"/>
        <n v="426.02"/>
        <n v="101.77"/>
        <n v="132.47999999999999"/>
        <n v="82.8"/>
        <n v="8.51"/>
        <n v="90.19"/>
        <n v="60.03"/>
        <n v="142.54"/>
        <n v="96.7"/>
        <n v="151.63999999999999"/>
        <n v="197.97"/>
        <n v="182.35"/>
        <n v="443.56"/>
        <n v="89.01"/>
        <n v="10.32"/>
        <n v="414.06"/>
        <n v="159.21"/>
        <n v="195.1"/>
        <n v="386.61"/>
        <n v="22.99"/>
        <n v="290.44"/>
        <n v="79.459999999999994"/>
        <n v="48.19"/>
        <n v="166.83"/>
        <n v="40.32"/>
        <n v="176.45"/>
        <n v="9.4"/>
        <n v="176.73"/>
        <n v="235.83"/>
        <n v="106.76"/>
        <n v="100.6"/>
        <n v="214"/>
        <n v="315.98"/>
        <n v="13.06"/>
        <n v="44.25"/>
        <n v="97.26"/>
        <n v="380.27"/>
        <n v="79.13"/>
        <n v="56.2"/>
        <n v="156.91999999999999"/>
        <n v="187.47"/>
        <n v="234.19"/>
        <n v="248.77"/>
        <n v="224.04"/>
        <n v="88.55"/>
        <n v="302.63"/>
        <n v="127.61"/>
        <n v="85.93"/>
        <n v="112.85"/>
        <n v="18.27"/>
        <n v="55.27"/>
        <n v="186.86"/>
        <n v="350.78"/>
        <n v="46.75"/>
        <n v="326.36"/>
        <n v="12.41"/>
        <n v="223.3"/>
        <n v="202.9"/>
        <n v="56.22"/>
        <n v="246.29"/>
        <n v="329.35"/>
        <n v="349.22"/>
        <n v="268.43"/>
        <n v="319.69"/>
        <n v="166.88"/>
        <n v="29.69"/>
        <n v="193.09"/>
        <n v="276.52999999999997"/>
        <n v="49.91"/>
        <n v="131.88"/>
        <n v="306.63"/>
        <n v="162.66999999999999"/>
        <n v="216.6"/>
        <n v="427.81"/>
        <n v="79.489999999999995"/>
        <n v="300.37"/>
        <n v="73.09"/>
        <n v="125.38"/>
        <n v="155.47999999999999"/>
        <n v="340.68"/>
        <n v="49.44"/>
        <n v="344.7"/>
        <n v="95.03"/>
        <n v="52.4"/>
        <n v="106.94"/>
        <n v="94.04"/>
        <n v="54.15"/>
        <n v="115.82"/>
        <n v="204"/>
        <n v="19.920000000000002"/>
        <n v="151.09"/>
        <n v="363.94"/>
        <n v="91.95"/>
        <n v="150.34"/>
        <n v="180.65"/>
        <n v="110.6"/>
        <n v="330.3"/>
        <n v="93.83"/>
        <n v="210.77"/>
        <n v="307.75"/>
        <n v="149.85"/>
        <n v="176.04"/>
        <n v="102.72"/>
        <n v="224.44"/>
        <n v="23.68"/>
        <n v="47.79"/>
        <n v="154.6"/>
        <n v="158.49"/>
        <n v="68.989999999999995"/>
        <n v="186.56"/>
        <n v="36.61"/>
        <n v="392.8"/>
        <n v="82.32"/>
        <n v="128.69"/>
        <n v="323.95999999999998"/>
        <n v="180.57"/>
        <n v="229.15"/>
        <n v="163.5"/>
        <n v="124.34"/>
        <n v="64.33"/>
        <n v="94.84"/>
        <n v="432"/>
        <n v="368.72"/>
        <n v="486.94"/>
        <n v="320.79000000000002"/>
        <n v="431.39"/>
        <n v="67.5"/>
        <n v="220.62"/>
        <n v="97.52"/>
        <n v="112.49"/>
        <n v="45.57"/>
        <n v="100.77"/>
        <n v="295.77999999999997"/>
        <n v="381.45"/>
        <n v="155.16"/>
        <n v="309.25"/>
        <n v="48.59"/>
        <n v="141.91999999999999"/>
        <n v="67.94"/>
        <n v="289.57"/>
        <n v="335.15"/>
        <n v="88.2"/>
        <n v="47.92"/>
        <n v="65.17"/>
        <n v="27.98"/>
        <n v="197.83"/>
        <n v="204.72"/>
        <n v="316.18"/>
        <n v="81.36"/>
        <n v="315.74"/>
        <n v="88.26"/>
        <n v="28.36"/>
        <n v="138.31"/>
        <n v="260.35000000000002"/>
        <n v="227.31"/>
        <n v="130.5"/>
        <n v="86.5"/>
        <n v="364.12"/>
        <n v="134.85"/>
        <n v="290.45"/>
        <n v="244.72"/>
        <n v="75.989999999999995"/>
        <n v="318.33"/>
        <n v="220.07"/>
        <n v="311.83"/>
        <n v="158.5"/>
        <n v="57.11"/>
        <n v="125.02"/>
        <n v="494.08"/>
        <n v="374.2"/>
        <n v="312.47000000000003"/>
        <n v="371.27"/>
        <n v="49.7"/>
        <n v="8.77"/>
        <n v="146.37"/>
        <n v="273.64999999999998"/>
        <n v="185.36"/>
        <n v="219.07"/>
        <n v="134.44"/>
        <n v="474.65"/>
        <n v="289.68"/>
        <n v="401.63"/>
        <n v="123.89"/>
        <n v="140.54"/>
        <n v="209.65"/>
        <n v="33.090000000000003"/>
        <n v="157.03"/>
        <n v="17.670000000000002"/>
        <n v="341.45"/>
        <n v="194.98"/>
        <n v="78.790000000000006"/>
        <n v="131.03"/>
        <n v="33.67"/>
        <n v="41.09"/>
        <n v="17.39"/>
        <n v="364.2"/>
        <n v="68.209999999999994"/>
        <n v="479.93"/>
        <n v="136.59"/>
        <n v="45.31"/>
        <n v="246.17"/>
        <n v="362.44"/>
        <n v="133.38"/>
        <n v="16.87"/>
        <n v="191.54"/>
        <n v="26.91"/>
        <n v="59.95"/>
        <n v="183.32"/>
        <n v="321.39999999999998"/>
        <n v="31.15"/>
        <n v="89.9"/>
        <n v="64.41"/>
        <n v="186.45"/>
        <n v="468.28"/>
        <n v="188.06"/>
        <n v="48.71"/>
        <n v="161.49"/>
        <n v="120.28"/>
        <n v="149.88999999999999"/>
        <n v="128.33000000000001"/>
        <n v="73.27"/>
        <n v="103.86"/>
        <n v="302.45999999999998"/>
        <n v="52.5"/>
        <n v="65.67"/>
        <n v="247.43"/>
        <n v="65.98"/>
      </sharedItems>
      <fieldGroup base="4">
        <rangePr startNum="8.09" endNum="494.08" groupInterval="20"/>
        <groupItems count="27">
          <s v="&lt;8.09"/>
          <s v="8.09-28.09"/>
          <s v="28.09-48.09"/>
          <s v="48.09-68.09"/>
          <s v="68.09-88.09"/>
          <s v="88.09-108.09"/>
          <s v="108.09-128.09"/>
          <s v="128.09-148.09"/>
          <s v="148.09-168.09"/>
          <s v="168.09-188.09"/>
          <s v="188.09-208.09"/>
          <s v="208.09-228.09"/>
          <s v="228.09-248.09"/>
          <s v="248.09-268.09"/>
          <s v="268.09-288.09"/>
          <s v="288.09-308.09"/>
          <s v="308.09-328.09"/>
          <s v="328.09-348.09"/>
          <s v="348.09-368.09"/>
          <s v="368.09-388.09"/>
          <s v="388.09-408.09"/>
          <s v="408.09-428.09"/>
          <s v="428.09-448.09"/>
          <s v="448.09-468.09"/>
          <s v="468.09-488.09"/>
          <s v="488.09-508.09"/>
          <s v="&gt;508.09"/>
        </groupItems>
      </fieldGroup>
    </cacheField>
    <cacheField name="Country" numFmtId="49">
      <sharedItems count="5">
        <s v="Australia"/>
        <s v="Canada"/>
        <s v="UK"/>
        <s v="USA"/>
        <s v="India"/>
      </sharedItems>
    </cacheField>
    <cacheField name="Duplicates" numFmtId="0">
      <sharedItems containsSemiMixedTypes="0" containsString="0" containsNumber="1" containsInteger="1" minValue="1" maxValue="1"/>
    </cacheField>
    <cacheField name="Months" numFmtId="0" databaseField="0">
      <fieldGroup base="0">
        <rangePr groupBy="months" startDate="2022-01-02T00:00:00" endDate="2022-09-01T00:00:00"/>
        <groupItems count="14">
          <s v="&lt;1/2/2022"/>
          <s v="Jan"/>
          <s v="Feb"/>
          <s v="Mar"/>
          <s v="Apr"/>
          <s v="May"/>
          <s v="Jun"/>
          <s v="Jul"/>
          <s v="Aug"/>
          <s v="Sep"/>
          <s v="Oct"/>
          <s v="Nov"/>
          <s v="Dec"/>
          <s v="&gt;9/1/2022"/>
        </groupItems>
      </fieldGroup>
    </cacheField>
  </cacheFields>
  <extLst>
    <ext xmlns:x14="http://schemas.microsoft.com/office/spreadsheetml/2009/9/main" uri="{725AE2AE-9491-48be-B2B4-4EB974FC3084}">
      <x14:pivotCacheDefinition pivotCacheId="4715999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3">
  <r>
    <x v="0"/>
    <x v="0"/>
    <x v="0"/>
    <x v="0"/>
    <x v="0"/>
    <x v="0"/>
    <n v="1"/>
  </r>
  <r>
    <x v="1"/>
    <x v="1"/>
    <x v="1"/>
    <x v="1"/>
    <x v="1"/>
    <x v="1"/>
    <n v="1"/>
  </r>
  <r>
    <x v="2"/>
    <x v="2"/>
    <x v="2"/>
    <x v="2"/>
    <x v="2"/>
    <x v="2"/>
    <n v="1"/>
  </r>
  <r>
    <x v="3"/>
    <x v="0"/>
    <x v="1"/>
    <x v="3"/>
    <x v="3"/>
    <x v="2"/>
    <n v="1"/>
  </r>
  <r>
    <x v="4"/>
    <x v="3"/>
    <x v="2"/>
    <x v="4"/>
    <x v="4"/>
    <x v="3"/>
    <n v="1"/>
  </r>
  <r>
    <x v="5"/>
    <x v="3"/>
    <x v="2"/>
    <x v="1"/>
    <x v="5"/>
    <x v="3"/>
    <n v="1"/>
  </r>
  <r>
    <x v="6"/>
    <x v="1"/>
    <x v="1"/>
    <x v="5"/>
    <x v="6"/>
    <x v="0"/>
    <n v="1"/>
  </r>
  <r>
    <x v="7"/>
    <x v="4"/>
    <x v="2"/>
    <x v="6"/>
    <x v="7"/>
    <x v="3"/>
    <n v="1"/>
  </r>
  <r>
    <x v="8"/>
    <x v="5"/>
    <x v="3"/>
    <x v="7"/>
    <x v="8"/>
    <x v="2"/>
    <n v="1"/>
  </r>
  <r>
    <x v="9"/>
    <x v="1"/>
    <x v="4"/>
    <x v="0"/>
    <x v="9"/>
    <x v="0"/>
    <n v="1"/>
  </r>
  <r>
    <x v="10"/>
    <x v="2"/>
    <x v="0"/>
    <x v="8"/>
    <x v="10"/>
    <x v="1"/>
    <n v="1"/>
  </r>
  <r>
    <x v="11"/>
    <x v="0"/>
    <x v="2"/>
    <x v="3"/>
    <x v="11"/>
    <x v="3"/>
    <n v="1"/>
  </r>
  <r>
    <x v="12"/>
    <x v="0"/>
    <x v="0"/>
    <x v="1"/>
    <x v="12"/>
    <x v="3"/>
    <n v="1"/>
  </r>
  <r>
    <x v="13"/>
    <x v="5"/>
    <x v="3"/>
    <x v="1"/>
    <x v="13"/>
    <x v="0"/>
    <n v="1"/>
  </r>
  <r>
    <x v="14"/>
    <x v="2"/>
    <x v="2"/>
    <x v="9"/>
    <x v="14"/>
    <x v="3"/>
    <n v="1"/>
  </r>
  <r>
    <x v="15"/>
    <x v="2"/>
    <x v="1"/>
    <x v="10"/>
    <x v="15"/>
    <x v="1"/>
    <n v="1"/>
  </r>
  <r>
    <x v="16"/>
    <x v="0"/>
    <x v="2"/>
    <x v="9"/>
    <x v="16"/>
    <x v="0"/>
    <n v="1"/>
  </r>
  <r>
    <x v="17"/>
    <x v="5"/>
    <x v="3"/>
    <x v="7"/>
    <x v="17"/>
    <x v="1"/>
    <n v="1"/>
  </r>
  <r>
    <x v="18"/>
    <x v="1"/>
    <x v="2"/>
    <x v="9"/>
    <x v="18"/>
    <x v="0"/>
    <n v="1"/>
  </r>
  <r>
    <x v="19"/>
    <x v="6"/>
    <x v="1"/>
    <x v="11"/>
    <x v="19"/>
    <x v="4"/>
    <n v="1"/>
  </r>
  <r>
    <x v="20"/>
    <x v="0"/>
    <x v="0"/>
    <x v="12"/>
    <x v="20"/>
    <x v="0"/>
    <n v="1"/>
  </r>
  <r>
    <x v="21"/>
    <x v="4"/>
    <x v="4"/>
    <x v="13"/>
    <x v="21"/>
    <x v="2"/>
    <n v="1"/>
  </r>
  <r>
    <x v="22"/>
    <x v="6"/>
    <x v="5"/>
    <x v="4"/>
    <x v="22"/>
    <x v="3"/>
    <n v="1"/>
  </r>
  <r>
    <x v="23"/>
    <x v="4"/>
    <x v="6"/>
    <x v="14"/>
    <x v="23"/>
    <x v="4"/>
    <n v="1"/>
  </r>
  <r>
    <x v="12"/>
    <x v="4"/>
    <x v="3"/>
    <x v="15"/>
    <x v="24"/>
    <x v="1"/>
    <n v="1"/>
  </r>
  <r>
    <x v="24"/>
    <x v="0"/>
    <x v="5"/>
    <x v="3"/>
    <x v="25"/>
    <x v="4"/>
    <n v="1"/>
  </r>
  <r>
    <x v="25"/>
    <x v="3"/>
    <x v="4"/>
    <x v="6"/>
    <x v="26"/>
    <x v="4"/>
    <n v="1"/>
  </r>
  <r>
    <x v="26"/>
    <x v="6"/>
    <x v="6"/>
    <x v="8"/>
    <x v="27"/>
    <x v="2"/>
    <n v="1"/>
  </r>
  <r>
    <x v="27"/>
    <x v="3"/>
    <x v="6"/>
    <x v="1"/>
    <x v="28"/>
    <x v="3"/>
    <n v="1"/>
  </r>
  <r>
    <x v="28"/>
    <x v="6"/>
    <x v="5"/>
    <x v="3"/>
    <x v="29"/>
    <x v="1"/>
    <n v="1"/>
  </r>
  <r>
    <x v="29"/>
    <x v="2"/>
    <x v="0"/>
    <x v="5"/>
    <x v="30"/>
    <x v="2"/>
    <n v="1"/>
  </r>
  <r>
    <x v="30"/>
    <x v="4"/>
    <x v="3"/>
    <x v="2"/>
    <x v="31"/>
    <x v="2"/>
    <n v="1"/>
  </r>
  <r>
    <x v="31"/>
    <x v="1"/>
    <x v="5"/>
    <x v="6"/>
    <x v="32"/>
    <x v="1"/>
    <n v="1"/>
  </r>
  <r>
    <x v="32"/>
    <x v="1"/>
    <x v="3"/>
    <x v="2"/>
    <x v="33"/>
    <x v="2"/>
    <n v="1"/>
  </r>
  <r>
    <x v="33"/>
    <x v="3"/>
    <x v="1"/>
    <x v="14"/>
    <x v="34"/>
    <x v="2"/>
    <n v="1"/>
  </r>
  <r>
    <x v="34"/>
    <x v="2"/>
    <x v="6"/>
    <x v="11"/>
    <x v="35"/>
    <x v="4"/>
    <n v="1"/>
  </r>
  <r>
    <x v="35"/>
    <x v="1"/>
    <x v="3"/>
    <x v="8"/>
    <x v="36"/>
    <x v="4"/>
    <n v="1"/>
  </r>
  <r>
    <x v="36"/>
    <x v="3"/>
    <x v="5"/>
    <x v="10"/>
    <x v="37"/>
    <x v="3"/>
    <n v="1"/>
  </r>
  <r>
    <x v="37"/>
    <x v="3"/>
    <x v="5"/>
    <x v="10"/>
    <x v="38"/>
    <x v="0"/>
    <n v="1"/>
  </r>
  <r>
    <x v="38"/>
    <x v="1"/>
    <x v="1"/>
    <x v="14"/>
    <x v="39"/>
    <x v="4"/>
    <n v="1"/>
  </r>
  <r>
    <x v="39"/>
    <x v="2"/>
    <x v="0"/>
    <x v="6"/>
    <x v="40"/>
    <x v="1"/>
    <n v="1"/>
  </r>
  <r>
    <x v="22"/>
    <x v="1"/>
    <x v="2"/>
    <x v="5"/>
    <x v="41"/>
    <x v="2"/>
    <n v="1"/>
  </r>
  <r>
    <x v="40"/>
    <x v="6"/>
    <x v="0"/>
    <x v="0"/>
    <x v="42"/>
    <x v="3"/>
    <n v="1"/>
  </r>
  <r>
    <x v="41"/>
    <x v="5"/>
    <x v="6"/>
    <x v="8"/>
    <x v="43"/>
    <x v="2"/>
    <n v="1"/>
  </r>
  <r>
    <x v="42"/>
    <x v="6"/>
    <x v="0"/>
    <x v="16"/>
    <x v="44"/>
    <x v="3"/>
    <n v="1"/>
  </r>
  <r>
    <x v="43"/>
    <x v="1"/>
    <x v="3"/>
    <x v="17"/>
    <x v="45"/>
    <x v="2"/>
    <n v="1"/>
  </r>
  <r>
    <x v="44"/>
    <x v="1"/>
    <x v="4"/>
    <x v="15"/>
    <x v="46"/>
    <x v="2"/>
    <n v="1"/>
  </r>
  <r>
    <x v="45"/>
    <x v="1"/>
    <x v="3"/>
    <x v="5"/>
    <x v="47"/>
    <x v="0"/>
    <n v="1"/>
  </r>
  <r>
    <x v="46"/>
    <x v="2"/>
    <x v="4"/>
    <x v="17"/>
    <x v="48"/>
    <x v="3"/>
    <n v="1"/>
  </r>
  <r>
    <x v="47"/>
    <x v="2"/>
    <x v="3"/>
    <x v="8"/>
    <x v="49"/>
    <x v="4"/>
    <n v="1"/>
  </r>
  <r>
    <x v="48"/>
    <x v="3"/>
    <x v="1"/>
    <x v="10"/>
    <x v="50"/>
    <x v="3"/>
    <n v="1"/>
  </r>
  <r>
    <x v="49"/>
    <x v="2"/>
    <x v="5"/>
    <x v="0"/>
    <x v="51"/>
    <x v="2"/>
    <n v="1"/>
  </r>
  <r>
    <x v="50"/>
    <x v="6"/>
    <x v="4"/>
    <x v="4"/>
    <x v="52"/>
    <x v="1"/>
    <n v="1"/>
  </r>
  <r>
    <x v="48"/>
    <x v="0"/>
    <x v="6"/>
    <x v="5"/>
    <x v="53"/>
    <x v="4"/>
    <n v="1"/>
  </r>
  <r>
    <x v="51"/>
    <x v="5"/>
    <x v="6"/>
    <x v="18"/>
    <x v="54"/>
    <x v="2"/>
    <n v="1"/>
  </r>
  <r>
    <x v="52"/>
    <x v="3"/>
    <x v="5"/>
    <x v="0"/>
    <x v="55"/>
    <x v="2"/>
    <n v="1"/>
  </r>
  <r>
    <x v="53"/>
    <x v="0"/>
    <x v="0"/>
    <x v="0"/>
    <x v="56"/>
    <x v="3"/>
    <n v="1"/>
  </r>
  <r>
    <x v="54"/>
    <x v="2"/>
    <x v="1"/>
    <x v="1"/>
    <x v="57"/>
    <x v="2"/>
    <n v="1"/>
  </r>
  <r>
    <x v="55"/>
    <x v="5"/>
    <x v="5"/>
    <x v="13"/>
    <x v="58"/>
    <x v="0"/>
    <n v="1"/>
  </r>
  <r>
    <x v="28"/>
    <x v="5"/>
    <x v="6"/>
    <x v="10"/>
    <x v="59"/>
    <x v="2"/>
    <n v="1"/>
  </r>
  <r>
    <x v="56"/>
    <x v="2"/>
    <x v="5"/>
    <x v="0"/>
    <x v="60"/>
    <x v="4"/>
    <n v="1"/>
  </r>
  <r>
    <x v="57"/>
    <x v="4"/>
    <x v="1"/>
    <x v="8"/>
    <x v="61"/>
    <x v="3"/>
    <n v="1"/>
  </r>
  <r>
    <x v="58"/>
    <x v="4"/>
    <x v="3"/>
    <x v="2"/>
    <x v="62"/>
    <x v="1"/>
    <n v="1"/>
  </r>
  <r>
    <x v="59"/>
    <x v="5"/>
    <x v="6"/>
    <x v="8"/>
    <x v="63"/>
    <x v="3"/>
    <n v="1"/>
  </r>
  <r>
    <x v="60"/>
    <x v="2"/>
    <x v="1"/>
    <x v="2"/>
    <x v="64"/>
    <x v="3"/>
    <n v="1"/>
  </r>
  <r>
    <x v="34"/>
    <x v="5"/>
    <x v="2"/>
    <x v="11"/>
    <x v="65"/>
    <x v="4"/>
    <n v="1"/>
  </r>
  <r>
    <x v="61"/>
    <x v="5"/>
    <x v="1"/>
    <x v="12"/>
    <x v="66"/>
    <x v="1"/>
    <n v="1"/>
  </r>
  <r>
    <x v="62"/>
    <x v="1"/>
    <x v="2"/>
    <x v="11"/>
    <x v="67"/>
    <x v="1"/>
    <n v="1"/>
  </r>
  <r>
    <x v="60"/>
    <x v="6"/>
    <x v="1"/>
    <x v="16"/>
    <x v="68"/>
    <x v="3"/>
    <n v="1"/>
  </r>
  <r>
    <x v="63"/>
    <x v="5"/>
    <x v="2"/>
    <x v="9"/>
    <x v="69"/>
    <x v="0"/>
    <n v="1"/>
  </r>
  <r>
    <x v="64"/>
    <x v="4"/>
    <x v="2"/>
    <x v="3"/>
    <x v="70"/>
    <x v="4"/>
    <n v="1"/>
  </r>
  <r>
    <x v="65"/>
    <x v="2"/>
    <x v="5"/>
    <x v="13"/>
    <x v="71"/>
    <x v="3"/>
    <n v="1"/>
  </r>
  <r>
    <x v="7"/>
    <x v="1"/>
    <x v="0"/>
    <x v="2"/>
    <x v="72"/>
    <x v="0"/>
    <n v="1"/>
  </r>
  <r>
    <x v="5"/>
    <x v="4"/>
    <x v="5"/>
    <x v="12"/>
    <x v="73"/>
    <x v="1"/>
    <n v="1"/>
  </r>
  <r>
    <x v="66"/>
    <x v="5"/>
    <x v="2"/>
    <x v="18"/>
    <x v="74"/>
    <x v="4"/>
    <n v="1"/>
  </r>
  <r>
    <x v="61"/>
    <x v="1"/>
    <x v="2"/>
    <x v="19"/>
    <x v="75"/>
    <x v="2"/>
    <n v="1"/>
  </r>
  <r>
    <x v="67"/>
    <x v="1"/>
    <x v="3"/>
    <x v="10"/>
    <x v="76"/>
    <x v="3"/>
    <n v="1"/>
  </r>
  <r>
    <x v="68"/>
    <x v="5"/>
    <x v="6"/>
    <x v="11"/>
    <x v="77"/>
    <x v="2"/>
    <n v="1"/>
  </r>
  <r>
    <x v="69"/>
    <x v="5"/>
    <x v="3"/>
    <x v="6"/>
    <x v="78"/>
    <x v="2"/>
    <n v="1"/>
  </r>
  <r>
    <x v="15"/>
    <x v="0"/>
    <x v="0"/>
    <x v="18"/>
    <x v="79"/>
    <x v="2"/>
    <n v="1"/>
  </r>
  <r>
    <x v="70"/>
    <x v="6"/>
    <x v="3"/>
    <x v="15"/>
    <x v="80"/>
    <x v="4"/>
    <n v="1"/>
  </r>
  <r>
    <x v="71"/>
    <x v="3"/>
    <x v="2"/>
    <x v="16"/>
    <x v="81"/>
    <x v="1"/>
    <n v="1"/>
  </r>
  <r>
    <x v="40"/>
    <x v="0"/>
    <x v="5"/>
    <x v="1"/>
    <x v="82"/>
    <x v="4"/>
    <n v="1"/>
  </r>
  <r>
    <x v="10"/>
    <x v="1"/>
    <x v="1"/>
    <x v="14"/>
    <x v="83"/>
    <x v="4"/>
    <n v="1"/>
  </r>
  <r>
    <x v="6"/>
    <x v="6"/>
    <x v="1"/>
    <x v="13"/>
    <x v="84"/>
    <x v="3"/>
    <n v="1"/>
  </r>
  <r>
    <x v="65"/>
    <x v="3"/>
    <x v="2"/>
    <x v="1"/>
    <x v="85"/>
    <x v="4"/>
    <n v="1"/>
  </r>
  <r>
    <x v="72"/>
    <x v="3"/>
    <x v="3"/>
    <x v="9"/>
    <x v="86"/>
    <x v="3"/>
    <n v="1"/>
  </r>
  <r>
    <x v="51"/>
    <x v="2"/>
    <x v="3"/>
    <x v="1"/>
    <x v="87"/>
    <x v="2"/>
    <n v="1"/>
  </r>
  <r>
    <x v="73"/>
    <x v="1"/>
    <x v="6"/>
    <x v="13"/>
    <x v="88"/>
    <x v="4"/>
    <n v="1"/>
  </r>
  <r>
    <x v="74"/>
    <x v="0"/>
    <x v="5"/>
    <x v="8"/>
    <x v="89"/>
    <x v="0"/>
    <n v="1"/>
  </r>
  <r>
    <x v="1"/>
    <x v="2"/>
    <x v="2"/>
    <x v="6"/>
    <x v="90"/>
    <x v="2"/>
    <n v="1"/>
  </r>
  <r>
    <x v="61"/>
    <x v="3"/>
    <x v="2"/>
    <x v="3"/>
    <x v="91"/>
    <x v="2"/>
    <n v="1"/>
  </r>
  <r>
    <x v="75"/>
    <x v="2"/>
    <x v="3"/>
    <x v="13"/>
    <x v="92"/>
    <x v="2"/>
    <n v="1"/>
  </r>
  <r>
    <x v="73"/>
    <x v="0"/>
    <x v="0"/>
    <x v="19"/>
    <x v="93"/>
    <x v="1"/>
    <n v="1"/>
  </r>
  <r>
    <x v="76"/>
    <x v="1"/>
    <x v="5"/>
    <x v="1"/>
    <x v="94"/>
    <x v="2"/>
    <n v="1"/>
  </r>
  <r>
    <x v="77"/>
    <x v="1"/>
    <x v="0"/>
    <x v="18"/>
    <x v="95"/>
    <x v="2"/>
    <n v="1"/>
  </r>
  <r>
    <x v="76"/>
    <x v="5"/>
    <x v="1"/>
    <x v="18"/>
    <x v="96"/>
    <x v="3"/>
    <n v="1"/>
  </r>
  <r>
    <x v="78"/>
    <x v="6"/>
    <x v="6"/>
    <x v="5"/>
    <x v="97"/>
    <x v="2"/>
    <n v="1"/>
  </r>
  <r>
    <x v="25"/>
    <x v="3"/>
    <x v="0"/>
    <x v="17"/>
    <x v="98"/>
    <x v="1"/>
    <n v="1"/>
  </r>
  <r>
    <x v="79"/>
    <x v="6"/>
    <x v="3"/>
    <x v="14"/>
    <x v="99"/>
    <x v="3"/>
    <n v="1"/>
  </r>
  <r>
    <x v="14"/>
    <x v="6"/>
    <x v="1"/>
    <x v="2"/>
    <x v="100"/>
    <x v="3"/>
    <n v="1"/>
  </r>
  <r>
    <x v="80"/>
    <x v="2"/>
    <x v="3"/>
    <x v="12"/>
    <x v="101"/>
    <x v="1"/>
    <n v="1"/>
  </r>
  <r>
    <x v="81"/>
    <x v="3"/>
    <x v="4"/>
    <x v="7"/>
    <x v="102"/>
    <x v="2"/>
    <n v="1"/>
  </r>
  <r>
    <x v="82"/>
    <x v="5"/>
    <x v="6"/>
    <x v="14"/>
    <x v="103"/>
    <x v="2"/>
    <n v="1"/>
  </r>
  <r>
    <x v="83"/>
    <x v="0"/>
    <x v="2"/>
    <x v="11"/>
    <x v="104"/>
    <x v="1"/>
    <n v="1"/>
  </r>
  <r>
    <x v="84"/>
    <x v="4"/>
    <x v="1"/>
    <x v="1"/>
    <x v="105"/>
    <x v="2"/>
    <n v="1"/>
  </r>
  <r>
    <x v="85"/>
    <x v="6"/>
    <x v="3"/>
    <x v="16"/>
    <x v="106"/>
    <x v="3"/>
    <n v="1"/>
  </r>
  <r>
    <x v="13"/>
    <x v="4"/>
    <x v="3"/>
    <x v="9"/>
    <x v="107"/>
    <x v="1"/>
    <n v="1"/>
  </r>
  <r>
    <x v="86"/>
    <x v="4"/>
    <x v="0"/>
    <x v="11"/>
    <x v="108"/>
    <x v="0"/>
    <n v="1"/>
  </r>
  <r>
    <x v="61"/>
    <x v="4"/>
    <x v="3"/>
    <x v="15"/>
    <x v="109"/>
    <x v="1"/>
    <n v="1"/>
  </r>
  <r>
    <x v="42"/>
    <x v="3"/>
    <x v="3"/>
    <x v="8"/>
    <x v="110"/>
    <x v="3"/>
    <n v="1"/>
  </r>
  <r>
    <x v="67"/>
    <x v="5"/>
    <x v="2"/>
    <x v="19"/>
    <x v="111"/>
    <x v="2"/>
    <n v="1"/>
  </r>
  <r>
    <x v="87"/>
    <x v="5"/>
    <x v="4"/>
    <x v="4"/>
    <x v="112"/>
    <x v="4"/>
    <n v="1"/>
  </r>
  <r>
    <x v="88"/>
    <x v="6"/>
    <x v="1"/>
    <x v="18"/>
    <x v="113"/>
    <x v="4"/>
    <n v="1"/>
  </r>
  <r>
    <x v="89"/>
    <x v="6"/>
    <x v="2"/>
    <x v="12"/>
    <x v="114"/>
    <x v="0"/>
    <n v="1"/>
  </r>
  <r>
    <x v="90"/>
    <x v="1"/>
    <x v="0"/>
    <x v="12"/>
    <x v="115"/>
    <x v="1"/>
    <n v="1"/>
  </r>
  <r>
    <x v="91"/>
    <x v="6"/>
    <x v="0"/>
    <x v="11"/>
    <x v="116"/>
    <x v="4"/>
    <n v="1"/>
  </r>
  <r>
    <x v="92"/>
    <x v="3"/>
    <x v="0"/>
    <x v="14"/>
    <x v="117"/>
    <x v="1"/>
    <n v="1"/>
  </r>
  <r>
    <x v="93"/>
    <x v="1"/>
    <x v="5"/>
    <x v="11"/>
    <x v="118"/>
    <x v="1"/>
    <n v="1"/>
  </r>
  <r>
    <x v="94"/>
    <x v="5"/>
    <x v="6"/>
    <x v="15"/>
    <x v="119"/>
    <x v="3"/>
    <n v="1"/>
  </r>
  <r>
    <x v="95"/>
    <x v="6"/>
    <x v="4"/>
    <x v="13"/>
    <x v="120"/>
    <x v="3"/>
    <n v="1"/>
  </r>
  <r>
    <x v="96"/>
    <x v="2"/>
    <x v="4"/>
    <x v="16"/>
    <x v="121"/>
    <x v="0"/>
    <n v="1"/>
  </r>
  <r>
    <x v="97"/>
    <x v="4"/>
    <x v="0"/>
    <x v="1"/>
    <x v="122"/>
    <x v="1"/>
    <n v="1"/>
  </r>
  <r>
    <x v="98"/>
    <x v="5"/>
    <x v="6"/>
    <x v="14"/>
    <x v="123"/>
    <x v="3"/>
    <n v="1"/>
  </r>
  <r>
    <x v="99"/>
    <x v="3"/>
    <x v="2"/>
    <x v="15"/>
    <x v="124"/>
    <x v="3"/>
    <n v="1"/>
  </r>
  <r>
    <x v="43"/>
    <x v="2"/>
    <x v="3"/>
    <x v="7"/>
    <x v="125"/>
    <x v="2"/>
    <n v="1"/>
  </r>
  <r>
    <x v="100"/>
    <x v="0"/>
    <x v="6"/>
    <x v="3"/>
    <x v="126"/>
    <x v="4"/>
    <n v="1"/>
  </r>
  <r>
    <x v="101"/>
    <x v="4"/>
    <x v="1"/>
    <x v="2"/>
    <x v="127"/>
    <x v="2"/>
    <n v="1"/>
  </r>
  <r>
    <x v="82"/>
    <x v="2"/>
    <x v="4"/>
    <x v="14"/>
    <x v="128"/>
    <x v="4"/>
    <n v="1"/>
  </r>
  <r>
    <x v="102"/>
    <x v="3"/>
    <x v="5"/>
    <x v="5"/>
    <x v="129"/>
    <x v="3"/>
    <n v="1"/>
  </r>
  <r>
    <x v="103"/>
    <x v="6"/>
    <x v="5"/>
    <x v="12"/>
    <x v="130"/>
    <x v="3"/>
    <n v="1"/>
  </r>
  <r>
    <x v="32"/>
    <x v="1"/>
    <x v="1"/>
    <x v="15"/>
    <x v="131"/>
    <x v="2"/>
    <n v="1"/>
  </r>
  <r>
    <x v="104"/>
    <x v="6"/>
    <x v="5"/>
    <x v="8"/>
    <x v="132"/>
    <x v="0"/>
    <n v="1"/>
  </r>
  <r>
    <x v="44"/>
    <x v="0"/>
    <x v="0"/>
    <x v="17"/>
    <x v="133"/>
    <x v="1"/>
    <n v="1"/>
  </r>
  <r>
    <x v="96"/>
    <x v="3"/>
    <x v="6"/>
    <x v="8"/>
    <x v="134"/>
    <x v="1"/>
    <n v="1"/>
  </r>
  <r>
    <x v="105"/>
    <x v="2"/>
    <x v="0"/>
    <x v="9"/>
    <x v="135"/>
    <x v="3"/>
    <n v="1"/>
  </r>
  <r>
    <x v="106"/>
    <x v="5"/>
    <x v="5"/>
    <x v="8"/>
    <x v="136"/>
    <x v="1"/>
    <n v="1"/>
  </r>
  <r>
    <x v="107"/>
    <x v="4"/>
    <x v="1"/>
    <x v="6"/>
    <x v="137"/>
    <x v="4"/>
    <n v="1"/>
  </r>
  <r>
    <x v="17"/>
    <x v="4"/>
    <x v="3"/>
    <x v="15"/>
    <x v="138"/>
    <x v="4"/>
    <n v="1"/>
  </r>
  <r>
    <x v="78"/>
    <x v="2"/>
    <x v="2"/>
    <x v="5"/>
    <x v="139"/>
    <x v="4"/>
    <n v="1"/>
  </r>
  <r>
    <x v="108"/>
    <x v="0"/>
    <x v="2"/>
    <x v="3"/>
    <x v="140"/>
    <x v="1"/>
    <n v="1"/>
  </r>
  <r>
    <x v="109"/>
    <x v="1"/>
    <x v="5"/>
    <x v="13"/>
    <x v="141"/>
    <x v="1"/>
    <n v="1"/>
  </r>
  <r>
    <x v="110"/>
    <x v="0"/>
    <x v="5"/>
    <x v="11"/>
    <x v="142"/>
    <x v="2"/>
    <n v="1"/>
  </r>
  <r>
    <x v="111"/>
    <x v="4"/>
    <x v="3"/>
    <x v="5"/>
    <x v="143"/>
    <x v="0"/>
    <n v="1"/>
  </r>
  <r>
    <x v="112"/>
    <x v="5"/>
    <x v="3"/>
    <x v="0"/>
    <x v="144"/>
    <x v="1"/>
    <n v="1"/>
  </r>
  <r>
    <x v="94"/>
    <x v="1"/>
    <x v="2"/>
    <x v="6"/>
    <x v="145"/>
    <x v="4"/>
    <n v="1"/>
  </r>
  <r>
    <x v="95"/>
    <x v="4"/>
    <x v="0"/>
    <x v="10"/>
    <x v="146"/>
    <x v="3"/>
    <n v="1"/>
  </r>
  <r>
    <x v="23"/>
    <x v="1"/>
    <x v="1"/>
    <x v="9"/>
    <x v="147"/>
    <x v="3"/>
    <n v="1"/>
  </r>
  <r>
    <x v="113"/>
    <x v="3"/>
    <x v="6"/>
    <x v="8"/>
    <x v="148"/>
    <x v="1"/>
    <n v="1"/>
  </r>
  <r>
    <x v="114"/>
    <x v="3"/>
    <x v="6"/>
    <x v="4"/>
    <x v="149"/>
    <x v="1"/>
    <n v="1"/>
  </r>
  <r>
    <x v="115"/>
    <x v="2"/>
    <x v="5"/>
    <x v="13"/>
    <x v="150"/>
    <x v="2"/>
    <n v="1"/>
  </r>
  <r>
    <x v="116"/>
    <x v="0"/>
    <x v="0"/>
    <x v="19"/>
    <x v="151"/>
    <x v="3"/>
    <n v="1"/>
  </r>
  <r>
    <x v="117"/>
    <x v="3"/>
    <x v="6"/>
    <x v="0"/>
    <x v="152"/>
    <x v="1"/>
    <n v="1"/>
  </r>
  <r>
    <x v="118"/>
    <x v="2"/>
    <x v="4"/>
    <x v="11"/>
    <x v="153"/>
    <x v="3"/>
    <n v="1"/>
  </r>
  <r>
    <x v="71"/>
    <x v="6"/>
    <x v="1"/>
    <x v="2"/>
    <x v="154"/>
    <x v="3"/>
    <n v="1"/>
  </r>
  <r>
    <x v="119"/>
    <x v="4"/>
    <x v="6"/>
    <x v="19"/>
    <x v="155"/>
    <x v="0"/>
    <n v="1"/>
  </r>
  <r>
    <x v="12"/>
    <x v="3"/>
    <x v="5"/>
    <x v="8"/>
    <x v="156"/>
    <x v="4"/>
    <n v="1"/>
  </r>
  <r>
    <x v="61"/>
    <x v="3"/>
    <x v="4"/>
    <x v="7"/>
    <x v="157"/>
    <x v="2"/>
    <n v="1"/>
  </r>
  <r>
    <x v="30"/>
    <x v="6"/>
    <x v="4"/>
    <x v="2"/>
    <x v="158"/>
    <x v="0"/>
    <n v="1"/>
  </r>
  <r>
    <x v="87"/>
    <x v="3"/>
    <x v="2"/>
    <x v="14"/>
    <x v="159"/>
    <x v="4"/>
    <n v="1"/>
  </r>
  <r>
    <x v="61"/>
    <x v="4"/>
    <x v="5"/>
    <x v="15"/>
    <x v="160"/>
    <x v="0"/>
    <n v="1"/>
  </r>
  <r>
    <x v="45"/>
    <x v="4"/>
    <x v="1"/>
    <x v="12"/>
    <x v="161"/>
    <x v="2"/>
    <n v="1"/>
  </r>
  <r>
    <x v="120"/>
    <x v="5"/>
    <x v="5"/>
    <x v="14"/>
    <x v="162"/>
    <x v="4"/>
    <n v="1"/>
  </r>
  <r>
    <x v="119"/>
    <x v="0"/>
    <x v="0"/>
    <x v="5"/>
    <x v="163"/>
    <x v="3"/>
    <n v="1"/>
  </r>
  <r>
    <x v="64"/>
    <x v="3"/>
    <x v="6"/>
    <x v="16"/>
    <x v="164"/>
    <x v="0"/>
    <n v="1"/>
  </r>
  <r>
    <x v="47"/>
    <x v="2"/>
    <x v="2"/>
    <x v="1"/>
    <x v="165"/>
    <x v="4"/>
    <n v="1"/>
  </r>
  <r>
    <x v="62"/>
    <x v="5"/>
    <x v="4"/>
    <x v="10"/>
    <x v="166"/>
    <x v="3"/>
    <n v="1"/>
  </r>
  <r>
    <x v="17"/>
    <x v="0"/>
    <x v="5"/>
    <x v="12"/>
    <x v="167"/>
    <x v="1"/>
    <n v="1"/>
  </r>
  <r>
    <x v="121"/>
    <x v="1"/>
    <x v="4"/>
    <x v="10"/>
    <x v="168"/>
    <x v="3"/>
    <n v="1"/>
  </r>
  <r>
    <x v="111"/>
    <x v="5"/>
    <x v="6"/>
    <x v="8"/>
    <x v="169"/>
    <x v="0"/>
    <n v="1"/>
  </r>
  <r>
    <x v="107"/>
    <x v="0"/>
    <x v="3"/>
    <x v="2"/>
    <x v="170"/>
    <x v="4"/>
    <n v="1"/>
  </r>
  <r>
    <x v="122"/>
    <x v="6"/>
    <x v="1"/>
    <x v="6"/>
    <x v="171"/>
    <x v="1"/>
    <n v="1"/>
  </r>
  <r>
    <x v="12"/>
    <x v="6"/>
    <x v="1"/>
    <x v="17"/>
    <x v="172"/>
    <x v="4"/>
    <n v="1"/>
  </r>
  <r>
    <x v="98"/>
    <x v="0"/>
    <x v="1"/>
    <x v="2"/>
    <x v="173"/>
    <x v="0"/>
    <n v="1"/>
  </r>
  <r>
    <x v="29"/>
    <x v="3"/>
    <x v="6"/>
    <x v="17"/>
    <x v="174"/>
    <x v="0"/>
    <n v="1"/>
  </r>
  <r>
    <x v="96"/>
    <x v="4"/>
    <x v="5"/>
    <x v="17"/>
    <x v="175"/>
    <x v="1"/>
    <n v="1"/>
  </r>
  <r>
    <x v="46"/>
    <x v="6"/>
    <x v="2"/>
    <x v="4"/>
    <x v="176"/>
    <x v="1"/>
    <n v="1"/>
  </r>
  <r>
    <x v="105"/>
    <x v="6"/>
    <x v="3"/>
    <x v="13"/>
    <x v="177"/>
    <x v="4"/>
    <n v="1"/>
  </r>
  <r>
    <x v="81"/>
    <x v="1"/>
    <x v="1"/>
    <x v="13"/>
    <x v="178"/>
    <x v="3"/>
    <n v="1"/>
  </r>
  <r>
    <x v="22"/>
    <x v="5"/>
    <x v="3"/>
    <x v="3"/>
    <x v="179"/>
    <x v="0"/>
    <n v="1"/>
  </r>
  <r>
    <x v="123"/>
    <x v="5"/>
    <x v="0"/>
    <x v="17"/>
    <x v="180"/>
    <x v="2"/>
    <n v="1"/>
  </r>
  <r>
    <x v="11"/>
    <x v="4"/>
    <x v="0"/>
    <x v="5"/>
    <x v="181"/>
    <x v="1"/>
    <n v="1"/>
  </r>
  <r>
    <x v="122"/>
    <x v="0"/>
    <x v="3"/>
    <x v="8"/>
    <x v="182"/>
    <x v="3"/>
    <n v="1"/>
  </r>
  <r>
    <x v="94"/>
    <x v="1"/>
    <x v="1"/>
    <x v="12"/>
    <x v="183"/>
    <x v="3"/>
    <n v="1"/>
  </r>
  <r>
    <x v="124"/>
    <x v="2"/>
    <x v="2"/>
    <x v="17"/>
    <x v="184"/>
    <x v="2"/>
    <n v="1"/>
  </r>
  <r>
    <x v="125"/>
    <x v="0"/>
    <x v="0"/>
    <x v="3"/>
    <x v="185"/>
    <x v="0"/>
    <n v="1"/>
  </r>
  <r>
    <x v="126"/>
    <x v="1"/>
    <x v="5"/>
    <x v="10"/>
    <x v="186"/>
    <x v="3"/>
    <n v="1"/>
  </r>
  <r>
    <x v="21"/>
    <x v="4"/>
    <x v="0"/>
    <x v="3"/>
    <x v="187"/>
    <x v="0"/>
    <n v="1"/>
  </r>
  <r>
    <x v="55"/>
    <x v="4"/>
    <x v="4"/>
    <x v="5"/>
    <x v="188"/>
    <x v="3"/>
    <n v="1"/>
  </r>
  <r>
    <x v="23"/>
    <x v="5"/>
    <x v="1"/>
    <x v="3"/>
    <x v="189"/>
    <x v="3"/>
    <n v="1"/>
  </r>
  <r>
    <x v="127"/>
    <x v="1"/>
    <x v="3"/>
    <x v="3"/>
    <x v="190"/>
    <x v="3"/>
    <n v="1"/>
  </r>
  <r>
    <x v="128"/>
    <x v="4"/>
    <x v="4"/>
    <x v="5"/>
    <x v="191"/>
    <x v="1"/>
    <n v="1"/>
  </r>
  <r>
    <x v="58"/>
    <x v="6"/>
    <x v="2"/>
    <x v="10"/>
    <x v="192"/>
    <x v="2"/>
    <n v="1"/>
  </r>
  <r>
    <x v="13"/>
    <x v="6"/>
    <x v="5"/>
    <x v="11"/>
    <x v="193"/>
    <x v="2"/>
    <n v="1"/>
  </r>
  <r>
    <x v="129"/>
    <x v="6"/>
    <x v="5"/>
    <x v="15"/>
    <x v="194"/>
    <x v="2"/>
    <n v="1"/>
  </r>
  <r>
    <x v="130"/>
    <x v="3"/>
    <x v="2"/>
    <x v="9"/>
    <x v="195"/>
    <x v="1"/>
    <n v="1"/>
  </r>
  <r>
    <x v="131"/>
    <x v="2"/>
    <x v="3"/>
    <x v="5"/>
    <x v="3"/>
    <x v="4"/>
    <n v="1"/>
  </r>
  <r>
    <x v="86"/>
    <x v="4"/>
    <x v="2"/>
    <x v="12"/>
    <x v="196"/>
    <x v="1"/>
    <n v="1"/>
  </r>
  <r>
    <x v="94"/>
    <x v="3"/>
    <x v="4"/>
    <x v="0"/>
    <x v="197"/>
    <x v="2"/>
    <n v="1"/>
  </r>
  <r>
    <x v="123"/>
    <x v="6"/>
    <x v="3"/>
    <x v="12"/>
    <x v="198"/>
    <x v="2"/>
    <n v="1"/>
  </r>
  <r>
    <x v="132"/>
    <x v="6"/>
    <x v="2"/>
    <x v="7"/>
    <x v="199"/>
    <x v="0"/>
    <n v="1"/>
  </r>
  <r>
    <x v="1"/>
    <x v="3"/>
    <x v="5"/>
    <x v="4"/>
    <x v="200"/>
    <x v="4"/>
    <n v="1"/>
  </r>
  <r>
    <x v="110"/>
    <x v="0"/>
    <x v="1"/>
    <x v="13"/>
    <x v="201"/>
    <x v="0"/>
    <n v="1"/>
  </r>
  <r>
    <x v="24"/>
    <x v="2"/>
    <x v="6"/>
    <x v="4"/>
    <x v="202"/>
    <x v="3"/>
    <n v="1"/>
  </r>
  <r>
    <x v="133"/>
    <x v="1"/>
    <x v="0"/>
    <x v="14"/>
    <x v="203"/>
    <x v="2"/>
    <n v="1"/>
  </r>
  <r>
    <x v="134"/>
    <x v="0"/>
    <x v="2"/>
    <x v="10"/>
    <x v="204"/>
    <x v="3"/>
    <n v="1"/>
  </r>
  <r>
    <x v="135"/>
    <x v="3"/>
    <x v="5"/>
    <x v="1"/>
    <x v="205"/>
    <x v="0"/>
    <n v="1"/>
  </r>
  <r>
    <x v="85"/>
    <x v="6"/>
    <x v="6"/>
    <x v="13"/>
    <x v="206"/>
    <x v="2"/>
    <n v="1"/>
  </r>
  <r>
    <x v="136"/>
    <x v="4"/>
    <x v="0"/>
    <x v="4"/>
    <x v="207"/>
    <x v="3"/>
    <n v="1"/>
  </r>
  <r>
    <x v="39"/>
    <x v="2"/>
    <x v="3"/>
    <x v="1"/>
    <x v="208"/>
    <x v="0"/>
    <n v="1"/>
  </r>
  <r>
    <x v="137"/>
    <x v="5"/>
    <x v="4"/>
    <x v="15"/>
    <x v="209"/>
    <x v="0"/>
    <n v="1"/>
  </r>
  <r>
    <x v="138"/>
    <x v="6"/>
    <x v="0"/>
    <x v="2"/>
    <x v="210"/>
    <x v="0"/>
    <n v="1"/>
  </r>
  <r>
    <x v="139"/>
    <x v="1"/>
    <x v="3"/>
    <x v="16"/>
    <x v="211"/>
    <x v="4"/>
    <n v="1"/>
  </r>
  <r>
    <x v="132"/>
    <x v="6"/>
    <x v="1"/>
    <x v="4"/>
    <x v="212"/>
    <x v="4"/>
    <n v="1"/>
  </r>
  <r>
    <x v="71"/>
    <x v="5"/>
    <x v="4"/>
    <x v="0"/>
    <x v="213"/>
    <x v="4"/>
    <n v="1"/>
  </r>
  <r>
    <x v="72"/>
    <x v="5"/>
    <x v="1"/>
    <x v="11"/>
    <x v="214"/>
    <x v="4"/>
    <n v="1"/>
  </r>
  <r>
    <x v="70"/>
    <x v="2"/>
    <x v="6"/>
    <x v="2"/>
    <x v="215"/>
    <x v="1"/>
    <n v="1"/>
  </r>
  <r>
    <x v="140"/>
    <x v="2"/>
    <x v="3"/>
    <x v="17"/>
    <x v="216"/>
    <x v="0"/>
    <n v="1"/>
  </r>
  <r>
    <x v="30"/>
    <x v="6"/>
    <x v="2"/>
    <x v="3"/>
    <x v="217"/>
    <x v="4"/>
    <n v="1"/>
  </r>
  <r>
    <x v="141"/>
    <x v="5"/>
    <x v="1"/>
    <x v="19"/>
    <x v="218"/>
    <x v="2"/>
    <n v="1"/>
  </r>
  <r>
    <x v="142"/>
    <x v="0"/>
    <x v="1"/>
    <x v="6"/>
    <x v="219"/>
    <x v="3"/>
    <n v="1"/>
  </r>
  <r>
    <x v="73"/>
    <x v="6"/>
    <x v="5"/>
    <x v="11"/>
    <x v="220"/>
    <x v="0"/>
    <n v="1"/>
  </r>
  <r>
    <x v="90"/>
    <x v="1"/>
    <x v="5"/>
    <x v="1"/>
    <x v="221"/>
    <x v="2"/>
    <n v="1"/>
  </r>
  <r>
    <x v="143"/>
    <x v="0"/>
    <x v="5"/>
    <x v="0"/>
    <x v="222"/>
    <x v="3"/>
    <n v="1"/>
  </r>
  <r>
    <x v="44"/>
    <x v="1"/>
    <x v="4"/>
    <x v="19"/>
    <x v="223"/>
    <x v="4"/>
    <n v="1"/>
  </r>
  <r>
    <x v="121"/>
    <x v="6"/>
    <x v="5"/>
    <x v="3"/>
    <x v="224"/>
    <x v="2"/>
    <n v="1"/>
  </r>
  <r>
    <x v="138"/>
    <x v="1"/>
    <x v="0"/>
    <x v="4"/>
    <x v="225"/>
    <x v="4"/>
    <n v="1"/>
  </r>
  <r>
    <x v="113"/>
    <x v="3"/>
    <x v="3"/>
    <x v="1"/>
    <x v="226"/>
    <x v="1"/>
    <n v="1"/>
  </r>
  <r>
    <x v="14"/>
    <x v="4"/>
    <x v="6"/>
    <x v="14"/>
    <x v="227"/>
    <x v="3"/>
    <n v="1"/>
  </r>
  <r>
    <x v="85"/>
    <x v="6"/>
    <x v="1"/>
    <x v="13"/>
    <x v="228"/>
    <x v="4"/>
    <n v="1"/>
  </r>
  <r>
    <x v="50"/>
    <x v="1"/>
    <x v="0"/>
    <x v="6"/>
    <x v="229"/>
    <x v="4"/>
    <n v="1"/>
  </r>
  <r>
    <x v="144"/>
    <x v="3"/>
    <x v="5"/>
    <x v="1"/>
    <x v="230"/>
    <x v="4"/>
    <n v="1"/>
  </r>
  <r>
    <x v="69"/>
    <x v="5"/>
    <x v="4"/>
    <x v="18"/>
    <x v="231"/>
    <x v="2"/>
    <n v="1"/>
  </r>
  <r>
    <x v="131"/>
    <x v="4"/>
    <x v="3"/>
    <x v="12"/>
    <x v="232"/>
    <x v="4"/>
    <n v="1"/>
  </r>
  <r>
    <x v="145"/>
    <x v="4"/>
    <x v="5"/>
    <x v="3"/>
    <x v="233"/>
    <x v="4"/>
    <n v="1"/>
  </r>
  <r>
    <x v="146"/>
    <x v="1"/>
    <x v="1"/>
    <x v="19"/>
    <x v="234"/>
    <x v="3"/>
    <n v="1"/>
  </r>
  <r>
    <x v="89"/>
    <x v="1"/>
    <x v="6"/>
    <x v="2"/>
    <x v="235"/>
    <x v="1"/>
    <n v="1"/>
  </r>
  <r>
    <x v="117"/>
    <x v="5"/>
    <x v="1"/>
    <x v="11"/>
    <x v="236"/>
    <x v="2"/>
    <n v="1"/>
  </r>
  <r>
    <x v="147"/>
    <x v="3"/>
    <x v="1"/>
    <x v="9"/>
    <x v="237"/>
    <x v="0"/>
    <n v="1"/>
  </r>
  <r>
    <x v="148"/>
    <x v="3"/>
    <x v="5"/>
    <x v="7"/>
    <x v="238"/>
    <x v="2"/>
    <n v="1"/>
  </r>
  <r>
    <x v="149"/>
    <x v="6"/>
    <x v="0"/>
    <x v="8"/>
    <x v="239"/>
    <x v="1"/>
    <n v="1"/>
  </r>
  <r>
    <x v="86"/>
    <x v="3"/>
    <x v="2"/>
    <x v="1"/>
    <x v="240"/>
    <x v="0"/>
    <n v="1"/>
  </r>
  <r>
    <x v="112"/>
    <x v="0"/>
    <x v="5"/>
    <x v="5"/>
    <x v="241"/>
    <x v="2"/>
    <n v="1"/>
  </r>
  <r>
    <x v="150"/>
    <x v="5"/>
    <x v="3"/>
    <x v="10"/>
    <x v="242"/>
    <x v="1"/>
    <n v="1"/>
  </r>
  <r>
    <x v="90"/>
    <x v="2"/>
    <x v="6"/>
    <x v="18"/>
    <x v="243"/>
    <x v="3"/>
    <n v="1"/>
  </r>
  <r>
    <x v="151"/>
    <x v="5"/>
    <x v="1"/>
    <x v="6"/>
    <x v="244"/>
    <x v="3"/>
    <n v="1"/>
  </r>
  <r>
    <x v="152"/>
    <x v="6"/>
    <x v="4"/>
    <x v="14"/>
    <x v="245"/>
    <x v="0"/>
    <n v="1"/>
  </r>
  <r>
    <x v="153"/>
    <x v="4"/>
    <x v="6"/>
    <x v="19"/>
    <x v="246"/>
    <x v="4"/>
    <n v="1"/>
  </r>
  <r>
    <x v="15"/>
    <x v="6"/>
    <x v="2"/>
    <x v="2"/>
    <x v="247"/>
    <x v="1"/>
    <n v="1"/>
  </r>
  <r>
    <x v="154"/>
    <x v="1"/>
    <x v="5"/>
    <x v="0"/>
    <x v="248"/>
    <x v="0"/>
    <n v="1"/>
  </r>
  <r>
    <x v="155"/>
    <x v="4"/>
    <x v="0"/>
    <x v="5"/>
    <x v="249"/>
    <x v="3"/>
    <n v="1"/>
  </r>
  <r>
    <x v="121"/>
    <x v="6"/>
    <x v="6"/>
    <x v="4"/>
    <x v="250"/>
    <x v="3"/>
    <n v="1"/>
  </r>
  <r>
    <x v="115"/>
    <x v="5"/>
    <x v="1"/>
    <x v="8"/>
    <x v="251"/>
    <x v="1"/>
    <n v="1"/>
  </r>
  <r>
    <x v="115"/>
    <x v="0"/>
    <x v="0"/>
    <x v="7"/>
    <x v="252"/>
    <x v="2"/>
    <n v="1"/>
  </r>
  <r>
    <x v="97"/>
    <x v="1"/>
    <x v="6"/>
    <x v="4"/>
    <x v="253"/>
    <x v="0"/>
    <n v="1"/>
  </r>
  <r>
    <x v="73"/>
    <x v="0"/>
    <x v="0"/>
    <x v="1"/>
    <x v="254"/>
    <x v="4"/>
    <n v="1"/>
  </r>
  <r>
    <x v="156"/>
    <x v="3"/>
    <x v="6"/>
    <x v="18"/>
    <x v="255"/>
    <x v="4"/>
    <n v="1"/>
  </r>
  <r>
    <x v="77"/>
    <x v="0"/>
    <x v="3"/>
    <x v="2"/>
    <x v="256"/>
    <x v="1"/>
    <n v="1"/>
  </r>
  <r>
    <x v="35"/>
    <x v="2"/>
    <x v="1"/>
    <x v="11"/>
    <x v="257"/>
    <x v="1"/>
    <n v="1"/>
  </r>
  <r>
    <x v="157"/>
    <x v="0"/>
    <x v="6"/>
    <x v="1"/>
    <x v="258"/>
    <x v="3"/>
    <n v="1"/>
  </r>
  <r>
    <x v="29"/>
    <x v="2"/>
    <x v="3"/>
    <x v="6"/>
    <x v="259"/>
    <x v="2"/>
    <n v="1"/>
  </r>
  <r>
    <x v="90"/>
    <x v="6"/>
    <x v="5"/>
    <x v="17"/>
    <x v="260"/>
    <x v="0"/>
    <n v="1"/>
  </r>
  <r>
    <x v="131"/>
    <x v="5"/>
    <x v="0"/>
    <x v="18"/>
    <x v="261"/>
    <x v="3"/>
    <n v="1"/>
  </r>
  <r>
    <x v="54"/>
    <x v="4"/>
    <x v="1"/>
    <x v="14"/>
    <x v="262"/>
    <x v="0"/>
    <n v="1"/>
  </r>
  <r>
    <x v="158"/>
    <x v="4"/>
    <x v="1"/>
    <x v="0"/>
    <x v="263"/>
    <x v="2"/>
    <n v="1"/>
  </r>
  <r>
    <x v="159"/>
    <x v="3"/>
    <x v="4"/>
    <x v="10"/>
    <x v="264"/>
    <x v="2"/>
    <n v="1"/>
  </r>
  <r>
    <x v="160"/>
    <x v="6"/>
    <x v="6"/>
    <x v="13"/>
    <x v="265"/>
    <x v="1"/>
    <n v="1"/>
  </r>
  <r>
    <x v="30"/>
    <x v="1"/>
    <x v="0"/>
    <x v="18"/>
    <x v="266"/>
    <x v="2"/>
    <n v="1"/>
  </r>
  <r>
    <x v="161"/>
    <x v="4"/>
    <x v="3"/>
    <x v="6"/>
    <x v="267"/>
    <x v="3"/>
    <n v="1"/>
  </r>
  <r>
    <x v="42"/>
    <x v="4"/>
    <x v="4"/>
    <x v="16"/>
    <x v="268"/>
    <x v="3"/>
    <n v="1"/>
  </r>
  <r>
    <x v="162"/>
    <x v="1"/>
    <x v="3"/>
    <x v="7"/>
    <x v="269"/>
    <x v="1"/>
    <n v="1"/>
  </r>
  <r>
    <x v="163"/>
    <x v="1"/>
    <x v="6"/>
    <x v="9"/>
    <x v="270"/>
    <x v="4"/>
    <n v="1"/>
  </r>
  <r>
    <x v="129"/>
    <x v="0"/>
    <x v="5"/>
    <x v="3"/>
    <x v="271"/>
    <x v="1"/>
    <n v="1"/>
  </r>
  <r>
    <x v="164"/>
    <x v="2"/>
    <x v="3"/>
    <x v="0"/>
    <x v="272"/>
    <x v="0"/>
    <n v="1"/>
  </r>
  <r>
    <x v="141"/>
    <x v="2"/>
    <x v="5"/>
    <x v="13"/>
    <x v="273"/>
    <x v="3"/>
    <n v="1"/>
  </r>
  <r>
    <x v="126"/>
    <x v="1"/>
    <x v="3"/>
    <x v="7"/>
    <x v="274"/>
    <x v="0"/>
    <n v="1"/>
  </r>
  <r>
    <x v="137"/>
    <x v="0"/>
    <x v="1"/>
    <x v="12"/>
    <x v="275"/>
    <x v="1"/>
    <n v="1"/>
  </r>
  <r>
    <x v="33"/>
    <x v="6"/>
    <x v="2"/>
    <x v="17"/>
    <x v="276"/>
    <x v="4"/>
    <n v="1"/>
  </r>
  <r>
    <x v="96"/>
    <x v="3"/>
    <x v="0"/>
    <x v="2"/>
    <x v="277"/>
    <x v="2"/>
    <n v="1"/>
  </r>
  <r>
    <x v="165"/>
    <x v="4"/>
    <x v="5"/>
    <x v="15"/>
    <x v="278"/>
    <x v="3"/>
    <n v="1"/>
  </r>
  <r>
    <x v="166"/>
    <x v="5"/>
    <x v="4"/>
    <x v="0"/>
    <x v="279"/>
    <x v="4"/>
    <n v="1"/>
  </r>
  <r>
    <x v="41"/>
    <x v="3"/>
    <x v="2"/>
    <x v="12"/>
    <x v="280"/>
    <x v="1"/>
    <n v="1"/>
  </r>
  <r>
    <x v="33"/>
    <x v="6"/>
    <x v="6"/>
    <x v="10"/>
    <x v="281"/>
    <x v="3"/>
    <n v="1"/>
  </r>
  <r>
    <x v="115"/>
    <x v="4"/>
    <x v="4"/>
    <x v="7"/>
    <x v="282"/>
    <x v="1"/>
    <n v="1"/>
  </r>
  <r>
    <x v="42"/>
    <x v="6"/>
    <x v="6"/>
    <x v="9"/>
    <x v="283"/>
    <x v="2"/>
    <n v="1"/>
  </r>
  <r>
    <x v="17"/>
    <x v="4"/>
    <x v="5"/>
    <x v="14"/>
    <x v="284"/>
    <x v="0"/>
    <n v="1"/>
  </r>
  <r>
    <x v="1"/>
    <x v="4"/>
    <x v="1"/>
    <x v="10"/>
    <x v="285"/>
    <x v="3"/>
    <n v="1"/>
  </r>
  <r>
    <x v="10"/>
    <x v="2"/>
    <x v="6"/>
    <x v="1"/>
    <x v="286"/>
    <x v="0"/>
    <n v="1"/>
  </r>
  <r>
    <x v="167"/>
    <x v="5"/>
    <x v="6"/>
    <x v="9"/>
    <x v="287"/>
    <x v="3"/>
    <n v="1"/>
  </r>
  <r>
    <x v="117"/>
    <x v="2"/>
    <x v="4"/>
    <x v="0"/>
    <x v="288"/>
    <x v="2"/>
    <n v="1"/>
  </r>
  <r>
    <x v="105"/>
    <x v="1"/>
    <x v="3"/>
    <x v="16"/>
    <x v="289"/>
    <x v="3"/>
    <n v="1"/>
  </r>
  <r>
    <x v="18"/>
    <x v="4"/>
    <x v="0"/>
    <x v="2"/>
    <x v="290"/>
    <x v="2"/>
    <n v="1"/>
  </r>
  <r>
    <x v="105"/>
    <x v="6"/>
    <x v="2"/>
    <x v="4"/>
    <x v="291"/>
    <x v="4"/>
    <n v="1"/>
  </r>
  <r>
    <x v="168"/>
    <x v="1"/>
    <x v="3"/>
    <x v="15"/>
    <x v="292"/>
    <x v="4"/>
    <n v="1"/>
  </r>
  <r>
    <x v="14"/>
    <x v="2"/>
    <x v="3"/>
    <x v="14"/>
    <x v="293"/>
    <x v="2"/>
    <n v="1"/>
  </r>
  <r>
    <x v="112"/>
    <x v="3"/>
    <x v="3"/>
    <x v="10"/>
    <x v="294"/>
    <x v="4"/>
    <n v="1"/>
  </r>
  <r>
    <x v="169"/>
    <x v="0"/>
    <x v="2"/>
    <x v="4"/>
    <x v="295"/>
    <x v="0"/>
    <n v="1"/>
  </r>
  <r>
    <x v="123"/>
    <x v="3"/>
    <x v="0"/>
    <x v="10"/>
    <x v="296"/>
    <x v="4"/>
    <n v="1"/>
  </r>
  <r>
    <x v="163"/>
    <x v="5"/>
    <x v="6"/>
    <x v="2"/>
    <x v="297"/>
    <x v="1"/>
    <n v="1"/>
  </r>
  <r>
    <x v="170"/>
    <x v="2"/>
    <x v="3"/>
    <x v="3"/>
    <x v="298"/>
    <x v="0"/>
    <n v="1"/>
  </r>
  <r>
    <x v="111"/>
    <x v="0"/>
    <x v="2"/>
    <x v="15"/>
    <x v="299"/>
    <x v="1"/>
    <n v="1"/>
  </r>
  <r>
    <x v="124"/>
    <x v="1"/>
    <x v="5"/>
    <x v="1"/>
    <x v="300"/>
    <x v="4"/>
    <n v="1"/>
  </r>
  <r>
    <x v="171"/>
    <x v="3"/>
    <x v="0"/>
    <x v="19"/>
    <x v="301"/>
    <x v="2"/>
    <n v="1"/>
  </r>
  <r>
    <x v="172"/>
    <x v="3"/>
    <x v="4"/>
    <x v="13"/>
    <x v="302"/>
    <x v="1"/>
    <n v="1"/>
  </r>
  <r>
    <x v="173"/>
    <x v="6"/>
    <x v="3"/>
    <x v="19"/>
    <x v="303"/>
    <x v="2"/>
    <n v="1"/>
  </r>
  <r>
    <x v="54"/>
    <x v="4"/>
    <x v="5"/>
    <x v="2"/>
    <x v="304"/>
    <x v="3"/>
    <n v="1"/>
  </r>
  <r>
    <x v="174"/>
    <x v="1"/>
    <x v="5"/>
    <x v="8"/>
    <x v="305"/>
    <x v="1"/>
    <n v="1"/>
  </r>
  <r>
    <x v="162"/>
    <x v="3"/>
    <x v="2"/>
    <x v="12"/>
    <x v="306"/>
    <x v="1"/>
    <n v="1"/>
  </r>
  <r>
    <x v="66"/>
    <x v="3"/>
    <x v="0"/>
    <x v="0"/>
    <x v="307"/>
    <x v="2"/>
    <n v="1"/>
  </r>
  <r>
    <x v="10"/>
    <x v="4"/>
    <x v="6"/>
    <x v="15"/>
    <x v="308"/>
    <x v="1"/>
    <n v="1"/>
  </r>
  <r>
    <x v="27"/>
    <x v="5"/>
    <x v="0"/>
    <x v="12"/>
    <x v="309"/>
    <x v="1"/>
    <n v="1"/>
  </r>
  <r>
    <x v="121"/>
    <x v="1"/>
    <x v="1"/>
    <x v="2"/>
    <x v="310"/>
    <x v="4"/>
    <n v="1"/>
  </r>
  <r>
    <x v="142"/>
    <x v="3"/>
    <x v="3"/>
    <x v="5"/>
    <x v="311"/>
    <x v="2"/>
    <n v="1"/>
  </r>
  <r>
    <x v="10"/>
    <x v="4"/>
    <x v="1"/>
    <x v="10"/>
    <x v="312"/>
    <x v="4"/>
    <n v="1"/>
  </r>
  <r>
    <x v="164"/>
    <x v="5"/>
    <x v="4"/>
    <x v="12"/>
    <x v="313"/>
    <x v="2"/>
    <n v="1"/>
  </r>
  <r>
    <x v="152"/>
    <x v="4"/>
    <x v="5"/>
    <x v="2"/>
    <x v="314"/>
    <x v="3"/>
    <n v="1"/>
  </r>
  <r>
    <x v="114"/>
    <x v="5"/>
    <x v="5"/>
    <x v="4"/>
    <x v="315"/>
    <x v="4"/>
    <n v="1"/>
  </r>
  <r>
    <x v="175"/>
    <x v="1"/>
    <x v="4"/>
    <x v="3"/>
    <x v="316"/>
    <x v="3"/>
    <n v="1"/>
  </r>
  <r>
    <x v="3"/>
    <x v="1"/>
    <x v="0"/>
    <x v="13"/>
    <x v="317"/>
    <x v="0"/>
    <n v="1"/>
  </r>
  <r>
    <x v="139"/>
    <x v="5"/>
    <x v="5"/>
    <x v="14"/>
    <x v="318"/>
    <x v="0"/>
    <n v="1"/>
  </r>
  <r>
    <x v="176"/>
    <x v="0"/>
    <x v="1"/>
    <x v="11"/>
    <x v="319"/>
    <x v="3"/>
    <n v="1"/>
  </r>
  <r>
    <x v="14"/>
    <x v="1"/>
    <x v="0"/>
    <x v="18"/>
    <x v="320"/>
    <x v="1"/>
    <n v="1"/>
  </r>
  <r>
    <x v="177"/>
    <x v="4"/>
    <x v="4"/>
    <x v="1"/>
    <x v="321"/>
    <x v="0"/>
    <n v="1"/>
  </r>
  <r>
    <x v="165"/>
    <x v="1"/>
    <x v="1"/>
    <x v="3"/>
    <x v="322"/>
    <x v="3"/>
    <n v="1"/>
  </r>
  <r>
    <x v="42"/>
    <x v="1"/>
    <x v="4"/>
    <x v="4"/>
    <x v="323"/>
    <x v="1"/>
    <n v="1"/>
  </r>
  <r>
    <x v="39"/>
    <x v="5"/>
    <x v="5"/>
    <x v="11"/>
    <x v="324"/>
    <x v="0"/>
    <n v="1"/>
  </r>
  <r>
    <x v="125"/>
    <x v="1"/>
    <x v="1"/>
    <x v="18"/>
    <x v="325"/>
    <x v="3"/>
    <n v="1"/>
  </r>
  <r>
    <x v="119"/>
    <x v="3"/>
    <x v="3"/>
    <x v="3"/>
    <x v="326"/>
    <x v="4"/>
    <n v="1"/>
  </r>
  <r>
    <x v="96"/>
    <x v="3"/>
    <x v="4"/>
    <x v="12"/>
    <x v="327"/>
    <x v="2"/>
    <n v="1"/>
  </r>
  <r>
    <x v="25"/>
    <x v="6"/>
    <x v="6"/>
    <x v="5"/>
    <x v="328"/>
    <x v="4"/>
    <n v="1"/>
  </r>
  <r>
    <x v="16"/>
    <x v="5"/>
    <x v="0"/>
    <x v="3"/>
    <x v="329"/>
    <x v="2"/>
    <n v="1"/>
  </r>
  <r>
    <x v="178"/>
    <x v="4"/>
    <x v="6"/>
    <x v="7"/>
    <x v="330"/>
    <x v="3"/>
    <n v="1"/>
  </r>
  <r>
    <x v="75"/>
    <x v="3"/>
    <x v="5"/>
    <x v="5"/>
    <x v="331"/>
    <x v="2"/>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2932181-F462-4BC5-9241-9F0A87B25BF2}" name="PivotTable1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rowHeaderCaption="Product">
  <location ref="M3:N11" firstHeaderRow="1" firstDataRow="1" firstDataCol="1"/>
  <pivotFields count="8">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sortType="descending">
      <items count="8">
        <item x="6"/>
        <item x="1"/>
        <item x="2"/>
        <item x="3"/>
        <item x="4"/>
        <item x="5"/>
        <item x="0"/>
        <item t="default"/>
      </items>
      <autoSortScope>
        <pivotArea dataOnly="0" outline="0" fieldPosition="0">
          <references count="1">
            <reference field="4294967294" count="1" selected="0">
              <x v="0"/>
            </reference>
          </references>
        </pivotArea>
      </autoSortScope>
    </pivotField>
    <pivotField showAll="0">
      <items count="8">
        <item x="6"/>
        <item x="0"/>
        <item x="1"/>
        <item x="3"/>
        <item x="5"/>
        <item x="2"/>
        <item x="4"/>
        <item t="default"/>
      </items>
    </pivotField>
    <pivotField numFmtId="2" showAll="0">
      <items count="13">
        <item x="0"/>
        <item x="1"/>
        <item x="2"/>
        <item x="3"/>
        <item x="4"/>
        <item x="5"/>
        <item x="6"/>
        <item x="7"/>
        <item x="8"/>
        <item x="9"/>
        <item x="10"/>
        <item x="11"/>
        <item t="default"/>
      </items>
    </pivotField>
    <pivotField dataField="1" numFmtId="164"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showAll="0">
      <items count="6">
        <item x="0"/>
        <item x="1"/>
        <item x="4"/>
        <item x="2"/>
        <item x="3"/>
        <item t="default"/>
      </items>
    </pivotField>
    <pivotField showAll="0"/>
    <pivotField showAll="0" defaultSubtotal="0">
      <items count="14">
        <item x="0"/>
        <item x="1"/>
        <item x="2"/>
        <item x="3"/>
        <item x="4"/>
        <item x="5"/>
        <item x="6"/>
        <item x="7"/>
        <item x="8"/>
        <item x="9"/>
        <item x="10"/>
        <item x="11"/>
        <item x="12"/>
        <item x="13"/>
      </items>
    </pivotField>
  </pivotFields>
  <rowFields count="1">
    <field x="1"/>
  </rowFields>
  <rowItems count="8">
    <i>
      <x v="3"/>
    </i>
    <i>
      <x v="2"/>
    </i>
    <i>
      <x v="5"/>
    </i>
    <i>
      <x v="1"/>
    </i>
    <i>
      <x v="4"/>
    </i>
    <i>
      <x/>
    </i>
    <i>
      <x v="6"/>
    </i>
    <i t="grand">
      <x/>
    </i>
  </rowItems>
  <colItems count="1">
    <i/>
  </colItems>
  <dataFields count="1">
    <dataField name="AVG Amount" fld="4" subtotal="average" baseField="1" baseItem="3"/>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12D5394-49AC-445F-99B4-2D6A6F668070}" name="PivotTable1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Country">
  <location ref="J3:K44" firstHeaderRow="1" firstDataRow="1" firstDataCol="1"/>
  <pivotFields count="8">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8">
        <item x="6"/>
        <item x="1"/>
        <item x="2"/>
        <item x="3"/>
        <item x="4"/>
        <item x="5"/>
        <item x="0"/>
        <item t="default"/>
      </items>
    </pivotField>
    <pivotField showAll="0">
      <items count="8">
        <item x="6"/>
        <item x="0"/>
        <item x="1"/>
        <item x="3"/>
        <item x="5"/>
        <item x="2"/>
        <item x="4"/>
        <item t="default"/>
      </items>
    </pivotField>
    <pivotField numFmtId="2" showAll="0">
      <items count="13">
        <item x="0"/>
        <item x="1"/>
        <item x="2"/>
        <item x="3"/>
        <item x="4"/>
        <item x="5"/>
        <item x="6"/>
        <item x="7"/>
        <item x="8"/>
        <item x="9"/>
        <item x="10"/>
        <item x="11"/>
        <item t="default"/>
      </items>
    </pivotField>
    <pivotField dataField="1" numFmtId="164"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axis="axisRow" showAll="0">
      <items count="6">
        <item x="0"/>
        <item x="1"/>
        <item x="4"/>
        <item x="2"/>
        <item x="3"/>
        <item t="default"/>
      </items>
    </pivotField>
    <pivotField showAll="0"/>
    <pivotField showAll="0" defaultSubtotal="0">
      <items count="14">
        <item x="0"/>
        <item x="1"/>
        <item x="2"/>
        <item x="3"/>
        <item x="4"/>
        <item x="5"/>
        <item x="6"/>
        <item x="7"/>
        <item x="8"/>
        <item x="9"/>
        <item x="10"/>
        <item x="11"/>
        <item x="12"/>
        <item x="13"/>
      </items>
    </pivotField>
  </pivotFields>
  <rowFields count="2">
    <field x="5"/>
    <field x="1"/>
  </rowFields>
  <rowItems count="41">
    <i>
      <x/>
    </i>
    <i r="1">
      <x/>
    </i>
    <i r="1">
      <x v="1"/>
    </i>
    <i r="1">
      <x v="2"/>
    </i>
    <i r="1">
      <x v="3"/>
    </i>
    <i r="1">
      <x v="4"/>
    </i>
    <i r="1">
      <x v="5"/>
    </i>
    <i r="1">
      <x v="6"/>
    </i>
    <i>
      <x v="1"/>
    </i>
    <i r="1">
      <x/>
    </i>
    <i r="1">
      <x v="1"/>
    </i>
    <i r="1">
      <x v="2"/>
    </i>
    <i r="1">
      <x v="3"/>
    </i>
    <i r="1">
      <x v="4"/>
    </i>
    <i r="1">
      <x v="5"/>
    </i>
    <i r="1">
      <x v="6"/>
    </i>
    <i>
      <x v="2"/>
    </i>
    <i r="1">
      <x/>
    </i>
    <i r="1">
      <x v="1"/>
    </i>
    <i r="1">
      <x v="2"/>
    </i>
    <i r="1">
      <x v="3"/>
    </i>
    <i r="1">
      <x v="4"/>
    </i>
    <i r="1">
      <x v="5"/>
    </i>
    <i r="1">
      <x v="6"/>
    </i>
    <i>
      <x v="3"/>
    </i>
    <i r="1">
      <x/>
    </i>
    <i r="1">
      <x v="1"/>
    </i>
    <i r="1">
      <x v="2"/>
    </i>
    <i r="1">
      <x v="3"/>
    </i>
    <i r="1">
      <x v="4"/>
    </i>
    <i r="1">
      <x v="5"/>
    </i>
    <i r="1">
      <x v="6"/>
    </i>
    <i>
      <x v="4"/>
    </i>
    <i r="1">
      <x/>
    </i>
    <i r="1">
      <x v="1"/>
    </i>
    <i r="1">
      <x v="2"/>
    </i>
    <i r="1">
      <x v="3"/>
    </i>
    <i r="1">
      <x v="4"/>
    </i>
    <i r="1">
      <x v="5"/>
    </i>
    <i r="1">
      <x v="6"/>
    </i>
    <i t="grand">
      <x/>
    </i>
  </rowItems>
  <colItems count="1">
    <i/>
  </colItems>
  <dataFields count="1">
    <dataField name="Total Amount" fld="4"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C9B471F-4FB8-4856-899B-FC0CCC002F20}"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rowHeaderCaption="Country">
  <location ref="A23:B29" firstHeaderRow="1" firstDataRow="1" firstDataCol="1"/>
  <pivotFields count="8">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8">
        <item x="6"/>
        <item x="1"/>
        <item x="2"/>
        <item x="3"/>
        <item x="4"/>
        <item x="5"/>
        <item x="0"/>
        <item t="default"/>
      </items>
    </pivotField>
    <pivotField showAll="0">
      <items count="8">
        <item x="6"/>
        <item x="0"/>
        <item x="1"/>
        <item x="3"/>
        <item x="5"/>
        <item x="2"/>
        <item x="4"/>
        <item t="default"/>
      </items>
    </pivotField>
    <pivotField numFmtId="2" showAll="0">
      <items count="13">
        <item x="0"/>
        <item x="1"/>
        <item x="2"/>
        <item x="3"/>
        <item x="4"/>
        <item x="5"/>
        <item x="6"/>
        <item x="7"/>
        <item x="8"/>
        <item x="9"/>
        <item x="10"/>
        <item x="11"/>
        <item t="default"/>
      </items>
    </pivotField>
    <pivotField dataField="1" numFmtId="164"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axis="axisRow" showAll="0" sortType="descending">
      <items count="6">
        <item x="0"/>
        <item x="1"/>
        <item x="4"/>
        <item x="2"/>
        <item x="3"/>
        <item t="default"/>
      </items>
      <autoSortScope>
        <pivotArea dataOnly="0" outline="0" fieldPosition="0">
          <references count="1">
            <reference field="4294967294" count="1" selected="0">
              <x v="0"/>
            </reference>
          </references>
        </pivotArea>
      </autoSortScope>
    </pivotField>
    <pivotField showAll="0"/>
    <pivotField showAll="0" defaultSubtotal="0">
      <items count="14">
        <item x="0"/>
        <item x="1"/>
        <item x="2"/>
        <item x="3"/>
        <item x="4"/>
        <item x="5"/>
        <item x="6"/>
        <item x="7"/>
        <item x="8"/>
        <item x="9"/>
        <item x="10"/>
        <item x="11"/>
        <item x="12"/>
        <item x="13"/>
      </items>
    </pivotField>
  </pivotFields>
  <rowFields count="1">
    <field x="5"/>
  </rowFields>
  <rowItems count="6">
    <i>
      <x v="4"/>
    </i>
    <i>
      <x v="3"/>
    </i>
    <i>
      <x v="1"/>
    </i>
    <i>
      <x v="2"/>
    </i>
    <i>
      <x/>
    </i>
    <i t="grand">
      <x/>
    </i>
  </rowItems>
  <colItems count="1">
    <i/>
  </colItems>
  <dataFields count="1">
    <dataField name="Total Amount" fld="4" baseField="5" baseItem="0"/>
  </dataFields>
  <chartFormats count="6">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5" count="1" selected="0">
            <x v="4"/>
          </reference>
        </references>
      </pivotArea>
    </chartFormat>
    <chartFormat chart="7" format="9">
      <pivotArea type="data" outline="0" fieldPosition="0">
        <references count="2">
          <reference field="4294967294" count="1" selected="0">
            <x v="0"/>
          </reference>
          <reference field="5" count="1" selected="0">
            <x v="3"/>
          </reference>
        </references>
      </pivotArea>
    </chartFormat>
    <chartFormat chart="7" format="10">
      <pivotArea type="data" outline="0" fieldPosition="0">
        <references count="2">
          <reference field="4294967294" count="1" selected="0">
            <x v="0"/>
          </reference>
          <reference field="5" count="1" selected="0">
            <x v="1"/>
          </reference>
        </references>
      </pivotArea>
    </chartFormat>
    <chartFormat chart="7" format="11">
      <pivotArea type="data" outline="0" fieldPosition="0">
        <references count="2">
          <reference field="4294967294" count="1" selected="0">
            <x v="0"/>
          </reference>
          <reference field="5" count="1" selected="0">
            <x v="2"/>
          </reference>
        </references>
      </pivotArea>
    </chartFormat>
    <chartFormat chart="7" format="12">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376821E-E62D-4C04-BECF-3D0C97F3DF2D}"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Month">
  <location ref="D31:E40" firstHeaderRow="1" firstDataRow="1" firstDataCol="1"/>
  <pivotFields count="8">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8">
        <item x="6"/>
        <item x="1"/>
        <item x="2"/>
        <item x="3"/>
        <item x="4"/>
        <item x="5"/>
        <item x="0"/>
        <item t="default"/>
      </items>
    </pivotField>
    <pivotField showAll="0">
      <items count="8">
        <item x="6"/>
        <item x="0"/>
        <item x="1"/>
        <item x="3"/>
        <item x="5"/>
        <item x="2"/>
        <item x="4"/>
        <item t="default"/>
      </items>
    </pivotField>
    <pivotField dataField="1" numFmtId="2" showAll="0">
      <items count="13">
        <item x="0"/>
        <item x="1"/>
        <item x="2"/>
        <item x="3"/>
        <item x="4"/>
        <item x="5"/>
        <item x="6"/>
        <item x="7"/>
        <item x="8"/>
        <item x="9"/>
        <item x="10"/>
        <item x="11"/>
        <item t="default"/>
      </items>
    </pivotField>
    <pivotField numFmtId="164"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showAll="0">
      <items count="6">
        <item x="0"/>
        <item x="1"/>
        <item x="4"/>
        <item x="2"/>
        <item x="3"/>
        <item t="default"/>
      </items>
    </pivotField>
    <pivotField showAll="0"/>
    <pivotField axis="axisRow" showAll="0" defaultSubtotal="0">
      <items count="14">
        <item x="0"/>
        <item x="1"/>
        <item x="2"/>
        <item x="3"/>
        <item x="4"/>
        <item x="5"/>
        <item x="6"/>
        <item x="7"/>
        <item x="8"/>
        <item x="9"/>
        <item x="10"/>
        <item x="11"/>
        <item x="12"/>
        <item x="13"/>
      </items>
    </pivotField>
  </pivotFields>
  <rowFields count="1">
    <field x="7"/>
  </rowFields>
  <rowItems count="9">
    <i>
      <x v="1"/>
    </i>
    <i>
      <x v="2"/>
    </i>
    <i>
      <x v="3"/>
    </i>
    <i>
      <x v="4"/>
    </i>
    <i>
      <x v="5"/>
    </i>
    <i>
      <x v="6"/>
    </i>
    <i>
      <x v="7"/>
    </i>
    <i>
      <x v="8"/>
    </i>
    <i t="grand">
      <x/>
    </i>
  </rowItems>
  <colItems count="1">
    <i/>
  </colItems>
  <dataFields count="1">
    <dataField name="Total box" fld="3" baseField="7" baseItem="1"/>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24DA764-D3B2-474F-A63A-E8B313D76675}"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Sales Person">
  <location ref="D13:E21" firstHeaderRow="1" firstDataRow="1" firstDataCol="1"/>
  <pivotFields count="8">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8">
        <item x="6"/>
        <item x="1"/>
        <item x="2"/>
        <item x="3"/>
        <item x="4"/>
        <item x="5"/>
        <item x="0"/>
        <item t="default"/>
      </items>
    </pivotField>
    <pivotField axis="axisRow" showAll="0" sortType="descending">
      <items count="8">
        <item x="6"/>
        <item x="0"/>
        <item x="1"/>
        <item x="3"/>
        <item x="5"/>
        <item x="2"/>
        <item x="4"/>
        <item t="default"/>
      </items>
      <autoSortScope>
        <pivotArea dataOnly="0" outline="0" fieldPosition="0">
          <references count="1">
            <reference field="4294967294" count="1" selected="0">
              <x v="0"/>
            </reference>
          </references>
        </pivotArea>
      </autoSortScope>
    </pivotField>
    <pivotField dataField="1" numFmtId="2" showAll="0">
      <items count="13">
        <item x="0"/>
        <item x="1"/>
        <item x="2"/>
        <item x="3"/>
        <item x="4"/>
        <item x="5"/>
        <item x="6"/>
        <item x="7"/>
        <item x="8"/>
        <item x="9"/>
        <item x="10"/>
        <item x="11"/>
        <item t="default"/>
      </items>
    </pivotField>
    <pivotField numFmtId="164"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showAll="0">
      <items count="6">
        <item x="0"/>
        <item x="1"/>
        <item x="4"/>
        <item x="2"/>
        <item x="3"/>
        <item t="default"/>
      </items>
    </pivotField>
    <pivotField showAll="0"/>
    <pivotField showAll="0" defaultSubtotal="0">
      <items count="14">
        <item x="0"/>
        <item x="1"/>
        <item x="2"/>
        <item x="3"/>
        <item x="4"/>
        <item x="5"/>
        <item x="6"/>
        <item x="7"/>
        <item x="8"/>
        <item x="9"/>
        <item x="10"/>
        <item x="11"/>
        <item x="12"/>
        <item x="13"/>
      </items>
    </pivotField>
  </pivotFields>
  <rowFields count="1">
    <field x="2"/>
  </rowFields>
  <rowItems count="8">
    <i>
      <x v="4"/>
    </i>
    <i>
      <x v="2"/>
    </i>
    <i>
      <x v="3"/>
    </i>
    <i>
      <x/>
    </i>
    <i>
      <x v="1"/>
    </i>
    <i>
      <x v="5"/>
    </i>
    <i>
      <x v="6"/>
    </i>
    <i t="grand">
      <x/>
    </i>
  </rowItems>
  <colItems count="1">
    <i/>
  </colItems>
  <dataFields count="1">
    <dataField name="Total box" fld="3" baseField="2" baseItem="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DE693E8-9316-4A28-A754-E0CC553028D9}"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rowHeaderCaption="Product">
  <location ref="A3:B11" firstHeaderRow="1" firstDataRow="1" firstDataCol="1"/>
  <pivotFields count="8">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sortType="descending">
      <items count="8">
        <item x="6"/>
        <item x="1"/>
        <item x="2"/>
        <item x="3"/>
        <item x="4"/>
        <item x="5"/>
        <item x="0"/>
        <item t="default"/>
      </items>
      <autoSortScope>
        <pivotArea dataOnly="0" outline="0" fieldPosition="0">
          <references count="1">
            <reference field="4294967294" count="1" selected="0">
              <x v="0"/>
            </reference>
          </references>
        </pivotArea>
      </autoSortScope>
    </pivotField>
    <pivotField showAll="0">
      <items count="8">
        <item x="6"/>
        <item x="0"/>
        <item x="1"/>
        <item x="3"/>
        <item x="5"/>
        <item x="2"/>
        <item x="4"/>
        <item t="default"/>
      </items>
    </pivotField>
    <pivotField numFmtId="2" showAll="0">
      <items count="13">
        <item x="0"/>
        <item x="1"/>
        <item x="2"/>
        <item x="3"/>
        <item x="4"/>
        <item x="5"/>
        <item x="6"/>
        <item x="7"/>
        <item x="8"/>
        <item x="9"/>
        <item x="10"/>
        <item x="11"/>
        <item t="default"/>
      </items>
    </pivotField>
    <pivotField dataField="1" numFmtId="164"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showAll="0">
      <items count="6">
        <item x="0"/>
        <item x="1"/>
        <item x="4"/>
        <item x="2"/>
        <item x="3"/>
        <item t="default"/>
      </items>
    </pivotField>
    <pivotField showAll="0"/>
    <pivotField showAll="0" defaultSubtotal="0">
      <items count="14">
        <item x="0"/>
        <item x="1"/>
        <item x="2"/>
        <item x="3"/>
        <item x="4"/>
        <item x="5"/>
        <item x="6"/>
        <item x="7"/>
        <item x="8"/>
        <item x="9"/>
        <item x="10"/>
        <item x="11"/>
        <item x="12"/>
        <item x="13"/>
      </items>
    </pivotField>
  </pivotFields>
  <rowFields count="1">
    <field x="1"/>
  </rowFields>
  <rowItems count="8">
    <i>
      <x v="3"/>
    </i>
    <i>
      <x v="1"/>
    </i>
    <i>
      <x v="5"/>
    </i>
    <i>
      <x v="4"/>
    </i>
    <i>
      <x v="2"/>
    </i>
    <i>
      <x/>
    </i>
    <i>
      <x v="6"/>
    </i>
    <i t="grand">
      <x/>
    </i>
  </rowItems>
  <colItems count="1">
    <i/>
  </colItems>
  <dataFields count="1">
    <dataField name="Total Amount" fld="4" baseField="1"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587969E-9E88-442D-854B-B727795C1DF8}" name="PivotTable2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rowHeaderCaption="Month">
  <location ref="M31:N40" firstHeaderRow="1" firstDataRow="1" firstDataCol="1"/>
  <pivotFields count="8">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8">
        <item x="6"/>
        <item x="1"/>
        <item x="2"/>
        <item x="3"/>
        <item x="4"/>
        <item x="5"/>
        <item x="0"/>
        <item t="default"/>
      </items>
    </pivotField>
    <pivotField showAll="0">
      <items count="8">
        <item x="6"/>
        <item x="0"/>
        <item x="1"/>
        <item x="3"/>
        <item x="5"/>
        <item x="2"/>
        <item x="4"/>
        <item t="default"/>
      </items>
    </pivotField>
    <pivotField numFmtId="2" showAll="0">
      <items count="13">
        <item x="0"/>
        <item x="1"/>
        <item x="2"/>
        <item x="3"/>
        <item x="4"/>
        <item x="5"/>
        <item x="6"/>
        <item x="7"/>
        <item x="8"/>
        <item x="9"/>
        <item x="10"/>
        <item x="11"/>
        <item t="default"/>
      </items>
    </pivotField>
    <pivotField dataField="1" numFmtId="164"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showAll="0">
      <items count="6">
        <item x="0"/>
        <item x="1"/>
        <item x="4"/>
        <item x="2"/>
        <item x="3"/>
        <item t="default"/>
      </items>
    </pivotField>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1">
    <field x="7"/>
  </rowFields>
  <rowItems count="9">
    <i>
      <x v="1"/>
    </i>
    <i>
      <x v="2"/>
    </i>
    <i>
      <x v="3"/>
    </i>
    <i>
      <x v="4"/>
    </i>
    <i>
      <x v="5"/>
    </i>
    <i>
      <x v="6"/>
    </i>
    <i>
      <x v="7"/>
    </i>
    <i>
      <x v="8"/>
    </i>
    <i t="grand">
      <x/>
    </i>
  </rowItems>
  <colItems count="1">
    <i/>
  </colItems>
  <dataFields count="1">
    <dataField name="AVG Amount" fld="4" subtotal="average" baseField="7" baseItem="1"/>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51F779A-48F5-4C20-809B-EB200C7ACB70}" name="PivotTable2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rowHeaderCaption="Date">
  <location ref="M42:N222" firstHeaderRow="1" firstDataRow="1" firstDataCol="1"/>
  <pivotFields count="8">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8">
        <item x="6"/>
        <item x="1"/>
        <item x="2"/>
        <item x="3"/>
        <item x="4"/>
        <item x="5"/>
        <item x="0"/>
        <item t="default"/>
      </items>
    </pivotField>
    <pivotField showAll="0">
      <items count="8">
        <item x="6"/>
        <item x="0"/>
        <item x="1"/>
        <item x="3"/>
        <item x="5"/>
        <item x="2"/>
        <item x="4"/>
        <item t="default"/>
      </items>
    </pivotField>
    <pivotField numFmtId="2" showAll="0">
      <items count="13">
        <item x="0"/>
        <item x="1"/>
        <item x="2"/>
        <item x="3"/>
        <item x="4"/>
        <item x="5"/>
        <item x="6"/>
        <item x="7"/>
        <item x="8"/>
        <item x="9"/>
        <item x="10"/>
        <item x="11"/>
        <item t="default"/>
      </items>
    </pivotField>
    <pivotField dataField="1" numFmtId="164"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showAll="0">
      <items count="6">
        <item x="0"/>
        <item x="1"/>
        <item x="4"/>
        <item x="2"/>
        <item x="3"/>
        <item t="default"/>
      </items>
    </pivotField>
    <pivotField showAll="0"/>
    <pivotField showAll="0" defaultSubtotal="0">
      <items count="14">
        <item sd="0" x="0"/>
        <item sd="0" x="1"/>
        <item sd="0" x="2"/>
        <item sd="0" x="3"/>
        <item sd="0" x="4"/>
        <item sd="0" x="5"/>
        <item sd="0" x="6"/>
        <item sd="0" x="7"/>
        <item sd="0" x="8"/>
        <item sd="0" x="9"/>
        <item sd="0" x="10"/>
        <item sd="0" x="11"/>
        <item sd="0" x="12"/>
        <item sd="0" x="13"/>
      </items>
    </pivotField>
  </pivotFields>
  <rowFields count="1">
    <field x="0"/>
  </rowFields>
  <rowItems count="180">
    <i>
      <x v="2"/>
    </i>
    <i>
      <x v="5"/>
    </i>
    <i>
      <x v="6"/>
    </i>
    <i>
      <x v="7"/>
    </i>
    <i>
      <x v="8"/>
    </i>
    <i>
      <x v="10"/>
    </i>
    <i>
      <x v="11"/>
    </i>
    <i>
      <x v="13"/>
    </i>
    <i>
      <x v="14"/>
    </i>
    <i>
      <x v="15"/>
    </i>
    <i>
      <x v="16"/>
    </i>
    <i>
      <x v="17"/>
    </i>
    <i>
      <x v="18"/>
    </i>
    <i>
      <x v="19"/>
    </i>
    <i>
      <x v="21"/>
    </i>
    <i>
      <x v="22"/>
    </i>
    <i>
      <x v="24"/>
    </i>
    <i>
      <x v="26"/>
    </i>
    <i>
      <x v="27"/>
    </i>
    <i>
      <x v="28"/>
    </i>
    <i>
      <x v="29"/>
    </i>
    <i>
      <x v="31"/>
    </i>
    <i>
      <x v="32"/>
    </i>
    <i>
      <x v="33"/>
    </i>
    <i>
      <x v="34"/>
    </i>
    <i>
      <x v="36"/>
    </i>
    <i>
      <x v="37"/>
    </i>
    <i>
      <x v="39"/>
    </i>
    <i>
      <x v="40"/>
    </i>
    <i>
      <x v="42"/>
    </i>
    <i>
      <x v="43"/>
    </i>
    <i>
      <x v="44"/>
    </i>
    <i>
      <x v="45"/>
    </i>
    <i>
      <x v="47"/>
    </i>
    <i>
      <x v="49"/>
    </i>
    <i>
      <x v="50"/>
    </i>
    <i>
      <x v="51"/>
    </i>
    <i>
      <x v="52"/>
    </i>
    <i>
      <x v="54"/>
    </i>
    <i>
      <x v="56"/>
    </i>
    <i>
      <x v="58"/>
    </i>
    <i>
      <x v="59"/>
    </i>
    <i>
      <x v="62"/>
    </i>
    <i>
      <x v="63"/>
    </i>
    <i>
      <x v="64"/>
    </i>
    <i>
      <x v="67"/>
    </i>
    <i>
      <x v="69"/>
    </i>
    <i>
      <x v="70"/>
    </i>
    <i>
      <x v="71"/>
    </i>
    <i>
      <x v="73"/>
    </i>
    <i>
      <x v="74"/>
    </i>
    <i>
      <x v="76"/>
    </i>
    <i>
      <x v="77"/>
    </i>
    <i>
      <x v="78"/>
    </i>
    <i>
      <x v="80"/>
    </i>
    <i>
      <x v="81"/>
    </i>
    <i>
      <x v="82"/>
    </i>
    <i>
      <x v="83"/>
    </i>
    <i>
      <x v="84"/>
    </i>
    <i>
      <x v="85"/>
    </i>
    <i>
      <x v="86"/>
    </i>
    <i>
      <x v="87"/>
    </i>
    <i>
      <x v="88"/>
    </i>
    <i>
      <x v="89"/>
    </i>
    <i>
      <x v="92"/>
    </i>
    <i>
      <x v="94"/>
    </i>
    <i>
      <x v="96"/>
    </i>
    <i>
      <x v="99"/>
    </i>
    <i>
      <x v="102"/>
    </i>
    <i>
      <x v="103"/>
    </i>
    <i>
      <x v="104"/>
    </i>
    <i>
      <x v="105"/>
    </i>
    <i>
      <x v="107"/>
    </i>
    <i>
      <x v="108"/>
    </i>
    <i>
      <x v="110"/>
    </i>
    <i>
      <x v="111"/>
    </i>
    <i>
      <x v="113"/>
    </i>
    <i>
      <x v="114"/>
    </i>
    <i>
      <x v="115"/>
    </i>
    <i>
      <x v="116"/>
    </i>
    <i>
      <x v="117"/>
    </i>
    <i>
      <x v="118"/>
    </i>
    <i>
      <x v="120"/>
    </i>
    <i>
      <x v="121"/>
    </i>
    <i>
      <x v="123"/>
    </i>
    <i>
      <x v="124"/>
    </i>
    <i>
      <x v="125"/>
    </i>
    <i>
      <x v="126"/>
    </i>
    <i>
      <x v="127"/>
    </i>
    <i>
      <x v="130"/>
    </i>
    <i>
      <x v="133"/>
    </i>
    <i>
      <x v="134"/>
    </i>
    <i>
      <x v="135"/>
    </i>
    <i>
      <x v="136"/>
    </i>
    <i>
      <x v="137"/>
    </i>
    <i>
      <x v="138"/>
    </i>
    <i>
      <x v="139"/>
    </i>
    <i>
      <x v="140"/>
    </i>
    <i>
      <x v="141"/>
    </i>
    <i>
      <x v="142"/>
    </i>
    <i>
      <x v="144"/>
    </i>
    <i>
      <x v="145"/>
    </i>
    <i>
      <x v="146"/>
    </i>
    <i>
      <x v="147"/>
    </i>
    <i>
      <x v="148"/>
    </i>
    <i>
      <x v="149"/>
    </i>
    <i>
      <x v="150"/>
    </i>
    <i>
      <x v="151"/>
    </i>
    <i>
      <x v="152"/>
    </i>
    <i>
      <x v="154"/>
    </i>
    <i>
      <x v="155"/>
    </i>
    <i>
      <x v="156"/>
    </i>
    <i>
      <x v="157"/>
    </i>
    <i>
      <x v="158"/>
    </i>
    <i>
      <x v="159"/>
    </i>
    <i>
      <x v="161"/>
    </i>
    <i>
      <x v="162"/>
    </i>
    <i>
      <x v="163"/>
    </i>
    <i>
      <x v="167"/>
    </i>
    <i>
      <x v="168"/>
    </i>
    <i>
      <x v="169"/>
    </i>
    <i>
      <x v="170"/>
    </i>
    <i>
      <x v="171"/>
    </i>
    <i>
      <x v="173"/>
    </i>
    <i>
      <x v="174"/>
    </i>
    <i>
      <x v="175"/>
    </i>
    <i>
      <x v="177"/>
    </i>
    <i>
      <x v="178"/>
    </i>
    <i>
      <x v="179"/>
    </i>
    <i>
      <x v="180"/>
    </i>
    <i>
      <x v="182"/>
    </i>
    <i>
      <x v="183"/>
    </i>
    <i>
      <x v="184"/>
    </i>
    <i>
      <x v="185"/>
    </i>
    <i>
      <x v="187"/>
    </i>
    <i>
      <x v="188"/>
    </i>
    <i>
      <x v="189"/>
    </i>
    <i>
      <x v="190"/>
    </i>
    <i>
      <x v="191"/>
    </i>
    <i>
      <x v="192"/>
    </i>
    <i>
      <x v="193"/>
    </i>
    <i>
      <x v="195"/>
    </i>
    <i>
      <x v="196"/>
    </i>
    <i>
      <x v="197"/>
    </i>
    <i>
      <x v="198"/>
    </i>
    <i>
      <x v="199"/>
    </i>
    <i>
      <x v="200"/>
    </i>
    <i>
      <x v="202"/>
    </i>
    <i>
      <x v="204"/>
    </i>
    <i>
      <x v="205"/>
    </i>
    <i>
      <x v="206"/>
    </i>
    <i>
      <x v="207"/>
    </i>
    <i>
      <x v="208"/>
    </i>
    <i>
      <x v="209"/>
    </i>
    <i>
      <x v="210"/>
    </i>
    <i>
      <x v="211"/>
    </i>
    <i>
      <x v="213"/>
    </i>
    <i>
      <x v="214"/>
    </i>
    <i>
      <x v="215"/>
    </i>
    <i>
      <x v="216"/>
    </i>
    <i>
      <x v="217"/>
    </i>
    <i>
      <x v="218"/>
    </i>
    <i>
      <x v="219"/>
    </i>
    <i>
      <x v="223"/>
    </i>
    <i>
      <x v="224"/>
    </i>
    <i>
      <x v="225"/>
    </i>
    <i>
      <x v="226"/>
    </i>
    <i>
      <x v="227"/>
    </i>
    <i>
      <x v="230"/>
    </i>
    <i>
      <x v="232"/>
    </i>
    <i>
      <x v="234"/>
    </i>
    <i>
      <x v="235"/>
    </i>
    <i>
      <x v="236"/>
    </i>
    <i>
      <x v="238"/>
    </i>
    <i>
      <x v="239"/>
    </i>
    <i>
      <x v="240"/>
    </i>
    <i>
      <x v="241"/>
    </i>
    <i>
      <x v="242"/>
    </i>
    <i>
      <x v="244"/>
    </i>
    <i t="grand">
      <x/>
    </i>
  </rowItems>
  <colItems count="1">
    <i/>
  </colItems>
  <dataFields count="1">
    <dataField name="AVG Amount" fld="4" subtotal="average" baseField="0" baseItem="2"/>
  </dataFields>
  <chartFormats count="4">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7"/>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0"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983A06C-CDFE-4A69-AE64-950E72E2F434}"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2" rowHeaderCaption="Product">
  <location ref="D3:E11" firstHeaderRow="1" firstDataRow="1" firstDataCol="1"/>
  <pivotFields count="8">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sortType="descending">
      <items count="8">
        <item x="6"/>
        <item x="1"/>
        <item x="2"/>
        <item x="3"/>
        <item x="4"/>
        <item x="5"/>
        <item x="0"/>
        <item t="default"/>
      </items>
      <autoSortScope>
        <pivotArea dataOnly="0" outline="0" fieldPosition="0">
          <references count="1">
            <reference field="4294967294" count="1" selected="0">
              <x v="0"/>
            </reference>
          </references>
        </pivotArea>
      </autoSortScope>
    </pivotField>
    <pivotField showAll="0">
      <items count="8">
        <item x="6"/>
        <item x="0"/>
        <item x="1"/>
        <item x="3"/>
        <item x="5"/>
        <item x="2"/>
        <item x="4"/>
        <item t="default"/>
      </items>
    </pivotField>
    <pivotField dataField="1" numFmtId="2" showAll="0">
      <items count="13">
        <item x="0"/>
        <item x="1"/>
        <item x="2"/>
        <item x="3"/>
        <item x="4"/>
        <item x="5"/>
        <item x="6"/>
        <item x="7"/>
        <item x="8"/>
        <item x="9"/>
        <item x="10"/>
        <item x="11"/>
        <item t="default"/>
      </items>
    </pivotField>
    <pivotField numFmtId="164"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showAll="0">
      <items count="6">
        <item x="0"/>
        <item x="1"/>
        <item x="4"/>
        <item x="2"/>
        <item x="3"/>
        <item t="default"/>
      </items>
    </pivotField>
    <pivotField showAll="0"/>
    <pivotField showAll="0" defaultSubtotal="0">
      <items count="14">
        <item x="0"/>
        <item x="1"/>
        <item x="2"/>
        <item x="3"/>
        <item x="4"/>
        <item x="5"/>
        <item x="6"/>
        <item x="7"/>
        <item x="8"/>
        <item x="9"/>
        <item x="10"/>
        <item x="11"/>
        <item x="12"/>
        <item x="13"/>
      </items>
    </pivotField>
  </pivotFields>
  <rowFields count="1">
    <field x="1"/>
  </rowFields>
  <rowItems count="8">
    <i>
      <x v="3"/>
    </i>
    <i>
      <x v="1"/>
    </i>
    <i>
      <x/>
    </i>
    <i>
      <x v="5"/>
    </i>
    <i>
      <x v="2"/>
    </i>
    <i>
      <x v="4"/>
    </i>
    <i>
      <x v="6"/>
    </i>
    <i t="grand">
      <x/>
    </i>
  </rowItems>
  <colItems count="1">
    <i/>
  </colItems>
  <dataFields count="1">
    <dataField name="Total box" fld="3" baseField="1" baseItem="3"/>
  </dataField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BC68D9C-1D69-4A71-9839-D826D935CD5A}"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Country">
  <location ref="D23:E29" firstHeaderRow="1" firstDataRow="1" firstDataCol="1"/>
  <pivotFields count="8">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8">
        <item x="6"/>
        <item x="1"/>
        <item x="2"/>
        <item x="3"/>
        <item x="4"/>
        <item x="5"/>
        <item x="0"/>
        <item t="default"/>
      </items>
    </pivotField>
    <pivotField showAll="0">
      <items count="8">
        <item x="6"/>
        <item x="0"/>
        <item x="1"/>
        <item x="3"/>
        <item x="5"/>
        <item x="2"/>
        <item x="4"/>
        <item t="default"/>
      </items>
    </pivotField>
    <pivotField dataField="1" numFmtId="2" showAll="0">
      <items count="13">
        <item x="0"/>
        <item x="1"/>
        <item x="2"/>
        <item x="3"/>
        <item x="4"/>
        <item x="5"/>
        <item x="6"/>
        <item x="7"/>
        <item x="8"/>
        <item x="9"/>
        <item x="10"/>
        <item x="11"/>
        <item t="default"/>
      </items>
    </pivotField>
    <pivotField numFmtId="164"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axis="axisRow" showAll="0">
      <items count="6">
        <item x="0"/>
        <item x="1"/>
        <item x="4"/>
        <item x="2"/>
        <item x="3"/>
        <item t="default"/>
      </items>
    </pivotField>
    <pivotField showAll="0"/>
    <pivotField showAll="0" defaultSubtotal="0">
      <items count="14">
        <item x="0"/>
        <item x="1"/>
        <item x="2"/>
        <item x="3"/>
        <item x="4"/>
        <item x="5"/>
        <item x="6"/>
        <item x="7"/>
        <item x="8"/>
        <item x="9"/>
        <item x="10"/>
        <item x="11"/>
        <item x="12"/>
        <item x="13"/>
      </items>
    </pivotField>
  </pivotFields>
  <rowFields count="1">
    <field x="5"/>
  </rowFields>
  <rowItems count="6">
    <i>
      <x/>
    </i>
    <i>
      <x v="1"/>
    </i>
    <i>
      <x v="2"/>
    </i>
    <i>
      <x v="3"/>
    </i>
    <i>
      <x v="4"/>
    </i>
    <i t="grand">
      <x/>
    </i>
  </rowItems>
  <colItems count="1">
    <i/>
  </colItems>
  <dataFields count="1">
    <dataField name="Total box" fld="3" baseField="5" baseItem="0"/>
  </dataFields>
  <chartFormats count="6">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5" count="1" selected="0">
            <x v="0"/>
          </reference>
        </references>
      </pivotArea>
    </chartFormat>
    <chartFormat chart="3" format="9">
      <pivotArea type="data" outline="0" fieldPosition="0">
        <references count="2">
          <reference field="4294967294" count="1" selected="0">
            <x v="0"/>
          </reference>
          <reference field="5" count="1" selected="0">
            <x v="1"/>
          </reference>
        </references>
      </pivotArea>
    </chartFormat>
    <chartFormat chart="3" format="10">
      <pivotArea type="data" outline="0" fieldPosition="0">
        <references count="2">
          <reference field="4294967294" count="1" selected="0">
            <x v="0"/>
          </reference>
          <reference field="5" count="1" selected="0">
            <x v="2"/>
          </reference>
        </references>
      </pivotArea>
    </chartFormat>
    <chartFormat chart="3" format="11">
      <pivotArea type="data" outline="0" fieldPosition="0">
        <references count="2">
          <reference field="4294967294" count="1" selected="0">
            <x v="0"/>
          </reference>
          <reference field="5" count="1" selected="0">
            <x v="3"/>
          </reference>
        </references>
      </pivotArea>
    </chartFormat>
    <chartFormat chart="3" format="12">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993B901-8F7C-4F21-9DC4-4E15B728EFE6}" name="PivotTable1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Total box">
  <location ref="G30:H41" firstHeaderRow="1" firstDataRow="1" firstDataCol="1"/>
  <pivotFields count="8">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8">
        <item x="6"/>
        <item x="1"/>
        <item x="2"/>
        <item x="3"/>
        <item x="4"/>
        <item x="5"/>
        <item x="0"/>
        <item t="default"/>
      </items>
    </pivotField>
    <pivotField showAll="0">
      <items count="8">
        <item x="6"/>
        <item x="0"/>
        <item x="1"/>
        <item x="3"/>
        <item x="5"/>
        <item x="2"/>
        <item x="4"/>
        <item t="default"/>
      </items>
    </pivotField>
    <pivotField axis="axisRow" dataField="1" numFmtId="2" showAll="0">
      <items count="13">
        <item x="0"/>
        <item x="1"/>
        <item x="2"/>
        <item x="3"/>
        <item x="4"/>
        <item x="5"/>
        <item x="6"/>
        <item x="7"/>
        <item x="8"/>
        <item x="9"/>
        <item x="10"/>
        <item x="11"/>
        <item t="default"/>
      </items>
    </pivotField>
    <pivotField numFmtId="164"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showAll="0">
      <items count="6">
        <item x="0"/>
        <item x="1"/>
        <item x="4"/>
        <item x="2"/>
        <item x="3"/>
        <item t="default"/>
      </items>
    </pivotField>
    <pivotField showAll="0"/>
    <pivotField showAll="0" defaultSubtotal="0">
      <items count="14">
        <item x="0"/>
        <item x="1"/>
        <item x="2"/>
        <item x="3"/>
        <item x="4"/>
        <item x="5"/>
        <item x="6"/>
        <item x="7"/>
        <item x="8"/>
        <item x="9"/>
        <item x="10"/>
        <item x="11"/>
        <item x="12"/>
        <item x="13"/>
      </items>
    </pivotField>
  </pivotFields>
  <rowFields count="1">
    <field x="3"/>
  </rowFields>
  <rowItems count="11">
    <i>
      <x v="1"/>
    </i>
    <i>
      <x v="2"/>
    </i>
    <i>
      <x v="3"/>
    </i>
    <i>
      <x v="4"/>
    </i>
    <i>
      <x v="5"/>
    </i>
    <i>
      <x v="6"/>
    </i>
    <i>
      <x v="7"/>
    </i>
    <i>
      <x v="8"/>
    </i>
    <i>
      <x v="9"/>
    </i>
    <i>
      <x v="10"/>
    </i>
    <i t="grand">
      <x/>
    </i>
  </rowItems>
  <colItems count="1">
    <i/>
  </colItems>
  <dataFields count="1">
    <dataField name="Distribution" fld="3" subtotal="count" baseField="3" baseItem="1"/>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6CBBDDA-8583-400A-ABBB-E6BD67C09A78}" name="PivotTable1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rowHeaderCaption="Amount">
  <location ref="G3:H28" firstHeaderRow="1" firstDataRow="1" firstDataCol="1"/>
  <pivotFields count="8">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8">
        <item x="6"/>
        <item x="1"/>
        <item x="2"/>
        <item x="3"/>
        <item x="4"/>
        <item x="5"/>
        <item x="0"/>
        <item t="default"/>
      </items>
    </pivotField>
    <pivotField showAll="0">
      <items count="8">
        <item x="6"/>
        <item x="0"/>
        <item x="1"/>
        <item x="3"/>
        <item x="5"/>
        <item x="2"/>
        <item x="4"/>
        <item t="default"/>
      </items>
    </pivotField>
    <pivotField numFmtId="2" showAll="0">
      <items count="13">
        <item x="0"/>
        <item x="1"/>
        <item x="2"/>
        <item x="3"/>
        <item x="4"/>
        <item x="5"/>
        <item x="6"/>
        <item x="7"/>
        <item x="8"/>
        <item x="9"/>
        <item x="10"/>
        <item x="11"/>
        <item t="default"/>
      </items>
    </pivotField>
    <pivotField axis="axisRow" dataField="1" numFmtId="164"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showAll="0">
      <items count="6">
        <item x="0"/>
        <item x="1"/>
        <item x="4"/>
        <item x="2"/>
        <item x="3"/>
        <item t="default"/>
      </items>
    </pivotField>
    <pivotField showAll="0"/>
    <pivotField showAll="0" defaultSubtotal="0">
      <items count="14">
        <item x="0"/>
        <item x="1"/>
        <item x="2"/>
        <item x="3"/>
        <item x="4"/>
        <item x="5"/>
        <item x="6"/>
        <item x="7"/>
        <item x="8"/>
        <item x="9"/>
        <item x="10"/>
        <item x="11"/>
        <item x="12"/>
        <item x="13"/>
      </items>
    </pivotField>
  </pivotFields>
  <rowFields count="1">
    <field x="4"/>
  </rowFields>
  <rowItems count="25">
    <i>
      <x v="1"/>
    </i>
    <i>
      <x v="2"/>
    </i>
    <i>
      <x v="3"/>
    </i>
    <i>
      <x v="4"/>
    </i>
    <i>
      <x v="5"/>
    </i>
    <i>
      <x v="6"/>
    </i>
    <i>
      <x v="7"/>
    </i>
    <i>
      <x v="8"/>
    </i>
    <i>
      <x v="9"/>
    </i>
    <i>
      <x v="10"/>
    </i>
    <i>
      <x v="11"/>
    </i>
    <i>
      <x v="12"/>
    </i>
    <i>
      <x v="13"/>
    </i>
    <i>
      <x v="14"/>
    </i>
    <i>
      <x v="15"/>
    </i>
    <i>
      <x v="16"/>
    </i>
    <i>
      <x v="17"/>
    </i>
    <i>
      <x v="18"/>
    </i>
    <i>
      <x v="19"/>
    </i>
    <i>
      <x v="20"/>
    </i>
    <i>
      <x v="21"/>
    </i>
    <i>
      <x v="22"/>
    </i>
    <i>
      <x v="24"/>
    </i>
    <i>
      <x v="25"/>
    </i>
    <i t="grand">
      <x/>
    </i>
  </rowItems>
  <colItems count="1">
    <i/>
  </colItems>
  <dataFields count="1">
    <dataField name="Distribution" fld="4" subtotal="count" baseField="4" baseItem="1"/>
  </dataFields>
  <chartFormats count="3">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EFE978D-1925-40F2-84C7-7E46F472CA5C}" name="PivotTable1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rowHeaderCaption="Sales Person">
  <location ref="M13:N21" firstHeaderRow="1" firstDataRow="1" firstDataCol="1"/>
  <pivotFields count="8">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8">
        <item x="6"/>
        <item x="1"/>
        <item x="2"/>
        <item x="3"/>
        <item x="4"/>
        <item x="5"/>
        <item x="0"/>
        <item t="default"/>
      </items>
    </pivotField>
    <pivotField axis="axisRow" showAll="0" sortType="descending">
      <items count="8">
        <item x="6"/>
        <item x="0"/>
        <item x="1"/>
        <item x="3"/>
        <item x="5"/>
        <item x="2"/>
        <item x="4"/>
        <item t="default"/>
      </items>
      <autoSortScope>
        <pivotArea dataOnly="0" outline="0" fieldPosition="0">
          <references count="1">
            <reference field="4294967294" count="1" selected="0">
              <x v="0"/>
            </reference>
          </references>
        </pivotArea>
      </autoSortScope>
    </pivotField>
    <pivotField numFmtId="2" showAll="0">
      <items count="13">
        <item x="0"/>
        <item x="1"/>
        <item x="2"/>
        <item x="3"/>
        <item x="4"/>
        <item x="5"/>
        <item x="6"/>
        <item x="7"/>
        <item x="8"/>
        <item x="9"/>
        <item x="10"/>
        <item x="11"/>
        <item t="default"/>
      </items>
    </pivotField>
    <pivotField dataField="1" numFmtId="164"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showAll="0">
      <items count="6">
        <item x="0"/>
        <item x="1"/>
        <item x="4"/>
        <item x="2"/>
        <item x="3"/>
        <item t="default"/>
      </items>
    </pivotField>
    <pivotField showAll="0"/>
    <pivotField showAll="0" defaultSubtotal="0">
      <items count="14">
        <item x="0"/>
        <item x="1"/>
        <item x="2"/>
        <item x="3"/>
        <item x="4"/>
        <item x="5"/>
        <item x="6"/>
        <item x="7"/>
        <item x="8"/>
        <item x="9"/>
        <item x="10"/>
        <item x="11"/>
        <item x="12"/>
        <item x="13"/>
      </items>
    </pivotField>
  </pivotFields>
  <rowFields count="1">
    <field x="2"/>
  </rowFields>
  <rowItems count="8">
    <i>
      <x v="4"/>
    </i>
    <i>
      <x v="2"/>
    </i>
    <i>
      <x v="6"/>
    </i>
    <i>
      <x v="5"/>
    </i>
    <i>
      <x v="3"/>
    </i>
    <i>
      <x/>
    </i>
    <i>
      <x v="1"/>
    </i>
    <i t="grand">
      <x/>
    </i>
  </rowItems>
  <colItems count="1">
    <i/>
  </colItems>
  <dataFields count="1">
    <dataField name="AVG Amount" fld="4" subtotal="average" baseField="2" baseItem="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4F09514-C3EF-409B-AA66-5E7A1A11961E}" name="PivotTable1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rowHeaderCaption="Country">
  <location ref="M23:N29" firstHeaderRow="1" firstDataRow="1" firstDataCol="1"/>
  <pivotFields count="8">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8">
        <item x="6"/>
        <item x="1"/>
        <item x="2"/>
        <item x="3"/>
        <item x="4"/>
        <item x="5"/>
        <item x="0"/>
        <item t="default"/>
      </items>
    </pivotField>
    <pivotField showAll="0">
      <items count="8">
        <item x="6"/>
        <item x="0"/>
        <item x="1"/>
        <item x="3"/>
        <item x="5"/>
        <item x="2"/>
        <item x="4"/>
        <item t="default"/>
      </items>
    </pivotField>
    <pivotField numFmtId="2" showAll="0">
      <items count="13">
        <item x="0"/>
        <item x="1"/>
        <item x="2"/>
        <item x="3"/>
        <item x="4"/>
        <item x="5"/>
        <item x="6"/>
        <item x="7"/>
        <item x="8"/>
        <item x="9"/>
        <item x="10"/>
        <item x="11"/>
        <item t="default"/>
      </items>
    </pivotField>
    <pivotField dataField="1" numFmtId="164"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axis="axisRow" showAll="0" sortType="descending">
      <items count="6">
        <item x="0"/>
        <item x="1"/>
        <item x="4"/>
        <item x="2"/>
        <item x="3"/>
        <item t="default"/>
      </items>
      <autoSortScope>
        <pivotArea dataOnly="0" outline="0" fieldPosition="0">
          <references count="1">
            <reference field="4294967294" count="1" selected="0">
              <x v="0"/>
            </reference>
          </references>
        </pivotArea>
      </autoSortScope>
    </pivotField>
    <pivotField showAll="0"/>
    <pivotField showAll="0" defaultSubtotal="0">
      <items count="14">
        <item x="0"/>
        <item x="1"/>
        <item x="2"/>
        <item x="3"/>
        <item x="4"/>
        <item x="5"/>
        <item x="6"/>
        <item x="7"/>
        <item x="8"/>
        <item x="9"/>
        <item x="10"/>
        <item x="11"/>
        <item x="12"/>
        <item x="13"/>
      </items>
    </pivotField>
  </pivotFields>
  <rowFields count="1">
    <field x="5"/>
  </rowFields>
  <rowItems count="6">
    <i>
      <x v="1"/>
    </i>
    <i>
      <x v="4"/>
    </i>
    <i>
      <x/>
    </i>
    <i>
      <x v="2"/>
    </i>
    <i>
      <x v="3"/>
    </i>
    <i t="grand">
      <x/>
    </i>
  </rowItems>
  <colItems count="1">
    <i/>
  </colItems>
  <dataFields count="1">
    <dataField name="AVG Amount" fld="4" subtotal="average" baseField="5" baseItem="1"/>
  </dataFields>
  <chartFormats count="6">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5" count="1" selected="0">
            <x v="4"/>
          </reference>
        </references>
      </pivotArea>
    </chartFormat>
    <chartFormat chart="7" format="9">
      <pivotArea type="data" outline="0" fieldPosition="0">
        <references count="2">
          <reference field="4294967294" count="1" selected="0">
            <x v="0"/>
          </reference>
          <reference field="5" count="1" selected="0">
            <x v="3"/>
          </reference>
        </references>
      </pivotArea>
    </chartFormat>
    <chartFormat chart="7" format="10">
      <pivotArea type="data" outline="0" fieldPosition="0">
        <references count="2">
          <reference field="4294967294" count="1" selected="0">
            <x v="0"/>
          </reference>
          <reference field="5" count="1" selected="0">
            <x v="1"/>
          </reference>
        </references>
      </pivotArea>
    </chartFormat>
    <chartFormat chart="7" format="11">
      <pivotArea type="data" outline="0" fieldPosition="0">
        <references count="2">
          <reference field="4294967294" count="1" selected="0">
            <x v="0"/>
          </reference>
          <reference field="5" count="1" selected="0">
            <x v="2"/>
          </reference>
        </references>
      </pivotArea>
    </chartFormat>
    <chartFormat chart="7" format="12">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39F4FA7-8FED-49A5-A6E1-3FB7EF39B5C2}"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rowHeaderCaption="Sales Person">
  <location ref="A13:B21" firstHeaderRow="1" firstDataRow="1" firstDataCol="1"/>
  <pivotFields count="8">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8">
        <item x="6"/>
        <item x="1"/>
        <item x="2"/>
        <item x="3"/>
        <item x="4"/>
        <item x="5"/>
        <item x="0"/>
        <item t="default"/>
      </items>
    </pivotField>
    <pivotField axis="axisRow" showAll="0" sortType="descending">
      <items count="8">
        <item x="6"/>
        <item x="0"/>
        <item x="1"/>
        <item x="3"/>
        <item x="5"/>
        <item x="2"/>
        <item x="4"/>
        <item t="default"/>
      </items>
      <autoSortScope>
        <pivotArea dataOnly="0" outline="0" fieldPosition="0">
          <references count="1">
            <reference field="4294967294" count="1" selected="0">
              <x v="0"/>
            </reference>
          </references>
        </pivotArea>
      </autoSortScope>
    </pivotField>
    <pivotField numFmtId="2" showAll="0">
      <items count="13">
        <item x="0"/>
        <item x="1"/>
        <item x="2"/>
        <item x="3"/>
        <item x="4"/>
        <item x="5"/>
        <item x="6"/>
        <item x="7"/>
        <item x="8"/>
        <item x="9"/>
        <item x="10"/>
        <item x="11"/>
        <item t="default"/>
      </items>
    </pivotField>
    <pivotField dataField="1" numFmtId="164"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showAll="0">
      <items count="6">
        <item x="0"/>
        <item x="1"/>
        <item x="4"/>
        <item x="2"/>
        <item x="3"/>
        <item t="default"/>
      </items>
    </pivotField>
    <pivotField showAll="0"/>
    <pivotField showAll="0" defaultSubtotal="0">
      <items count="14">
        <item x="0"/>
        <item x="1"/>
        <item x="2"/>
        <item x="3"/>
        <item x="4"/>
        <item x="5"/>
        <item x="6"/>
        <item x="7"/>
        <item x="8"/>
        <item x="9"/>
        <item x="10"/>
        <item x="11"/>
        <item x="12"/>
        <item x="13"/>
      </items>
    </pivotField>
  </pivotFields>
  <rowFields count="1">
    <field x="2"/>
  </rowFields>
  <rowItems count="8">
    <i>
      <x v="4"/>
    </i>
    <i>
      <x v="2"/>
    </i>
    <i>
      <x v="3"/>
    </i>
    <i>
      <x v="5"/>
    </i>
    <i>
      <x/>
    </i>
    <i>
      <x v="1"/>
    </i>
    <i>
      <x v="6"/>
    </i>
    <i t="grand">
      <x/>
    </i>
  </rowItems>
  <colItems count="1">
    <i/>
  </colItems>
  <dataFields count="1">
    <dataField name="Total Amount" fld="4" baseField="2"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E79BA60-40B4-4222-A3F0-7AAD95865EBB}"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rowHeaderCaption="Month">
  <location ref="A31:B40" firstHeaderRow="1" firstDataRow="1" firstDataCol="1"/>
  <pivotFields count="8">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8">
        <item x="6"/>
        <item x="1"/>
        <item x="2"/>
        <item x="3"/>
        <item x="4"/>
        <item x="5"/>
        <item x="0"/>
        <item t="default"/>
      </items>
    </pivotField>
    <pivotField showAll="0">
      <items count="8">
        <item x="6"/>
        <item x="0"/>
        <item x="1"/>
        <item x="3"/>
        <item x="5"/>
        <item x="2"/>
        <item x="4"/>
        <item t="default"/>
      </items>
    </pivotField>
    <pivotField numFmtId="2" showAll="0">
      <items count="13">
        <item x="0"/>
        <item x="1"/>
        <item x="2"/>
        <item x="3"/>
        <item x="4"/>
        <item x="5"/>
        <item x="6"/>
        <item x="7"/>
        <item x="8"/>
        <item x="9"/>
        <item x="10"/>
        <item x="11"/>
        <item t="default"/>
      </items>
    </pivotField>
    <pivotField dataField="1" numFmtId="164"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showAll="0">
      <items count="6">
        <item x="0"/>
        <item x="1"/>
        <item x="4"/>
        <item x="2"/>
        <item x="3"/>
        <item t="default"/>
      </items>
    </pivotField>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1">
    <field x="7"/>
  </rowFields>
  <rowItems count="9">
    <i>
      <x v="1"/>
    </i>
    <i>
      <x v="2"/>
    </i>
    <i>
      <x v="3"/>
    </i>
    <i>
      <x v="4"/>
    </i>
    <i>
      <x v="5"/>
    </i>
    <i>
      <x v="6"/>
    </i>
    <i>
      <x v="7"/>
    </i>
    <i>
      <x v="8"/>
    </i>
    <i t="grand">
      <x/>
    </i>
  </rowItems>
  <colItems count="1">
    <i/>
  </colItems>
  <dataFields count="1">
    <dataField name="Total Amount" fld="4" baseField="7" baseItem="1"/>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1CAAD17-BDDE-4AD3-8F49-D79DA6389CDE}"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rowHeaderCaption="Date">
  <location ref="A42:B222" firstHeaderRow="1" firstDataRow="1" firstDataCol="1"/>
  <pivotFields count="8">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8">
        <item x="6"/>
        <item x="1"/>
        <item x="2"/>
        <item x="3"/>
        <item x="4"/>
        <item x="5"/>
        <item x="0"/>
        <item t="default"/>
      </items>
    </pivotField>
    <pivotField showAll="0">
      <items count="8">
        <item x="6"/>
        <item x="0"/>
        <item x="1"/>
        <item x="3"/>
        <item x="5"/>
        <item x="2"/>
        <item x="4"/>
        <item t="default"/>
      </items>
    </pivotField>
    <pivotField numFmtId="2" showAll="0">
      <items count="13">
        <item x="0"/>
        <item x="1"/>
        <item x="2"/>
        <item x="3"/>
        <item x="4"/>
        <item x="5"/>
        <item x="6"/>
        <item x="7"/>
        <item x="8"/>
        <item x="9"/>
        <item x="10"/>
        <item x="11"/>
        <item t="default"/>
      </items>
    </pivotField>
    <pivotField dataField="1" numFmtId="164"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showAll="0">
      <items count="6">
        <item x="0"/>
        <item x="1"/>
        <item x="4"/>
        <item x="2"/>
        <item x="3"/>
        <item t="default"/>
      </items>
    </pivotField>
    <pivotField showAll="0"/>
    <pivotField showAll="0" defaultSubtotal="0">
      <items count="14">
        <item sd="0" x="0"/>
        <item sd="0" x="1"/>
        <item sd="0" x="2"/>
        <item sd="0" x="3"/>
        <item sd="0" x="4"/>
        <item sd="0" x="5"/>
        <item sd="0" x="6"/>
        <item sd="0" x="7"/>
        <item sd="0" x="8"/>
        <item sd="0" x="9"/>
        <item sd="0" x="10"/>
        <item sd="0" x="11"/>
        <item sd="0" x="12"/>
        <item sd="0" x="13"/>
      </items>
    </pivotField>
  </pivotFields>
  <rowFields count="1">
    <field x="0"/>
  </rowFields>
  <rowItems count="180">
    <i>
      <x v="2"/>
    </i>
    <i>
      <x v="5"/>
    </i>
    <i>
      <x v="6"/>
    </i>
    <i>
      <x v="7"/>
    </i>
    <i>
      <x v="8"/>
    </i>
    <i>
      <x v="10"/>
    </i>
    <i>
      <x v="11"/>
    </i>
    <i>
      <x v="13"/>
    </i>
    <i>
      <x v="14"/>
    </i>
    <i>
      <x v="15"/>
    </i>
    <i>
      <x v="16"/>
    </i>
    <i>
      <x v="17"/>
    </i>
    <i>
      <x v="18"/>
    </i>
    <i>
      <x v="19"/>
    </i>
    <i>
      <x v="21"/>
    </i>
    <i>
      <x v="22"/>
    </i>
    <i>
      <x v="24"/>
    </i>
    <i>
      <x v="26"/>
    </i>
    <i>
      <x v="27"/>
    </i>
    <i>
      <x v="28"/>
    </i>
    <i>
      <x v="29"/>
    </i>
    <i>
      <x v="31"/>
    </i>
    <i>
      <x v="32"/>
    </i>
    <i>
      <x v="33"/>
    </i>
    <i>
      <x v="34"/>
    </i>
    <i>
      <x v="36"/>
    </i>
    <i>
      <x v="37"/>
    </i>
    <i>
      <x v="39"/>
    </i>
    <i>
      <x v="40"/>
    </i>
    <i>
      <x v="42"/>
    </i>
    <i>
      <x v="43"/>
    </i>
    <i>
      <x v="44"/>
    </i>
    <i>
      <x v="45"/>
    </i>
    <i>
      <x v="47"/>
    </i>
    <i>
      <x v="49"/>
    </i>
    <i>
      <x v="50"/>
    </i>
    <i>
      <x v="51"/>
    </i>
    <i>
      <x v="52"/>
    </i>
    <i>
      <x v="54"/>
    </i>
    <i>
      <x v="56"/>
    </i>
    <i>
      <x v="58"/>
    </i>
    <i>
      <x v="59"/>
    </i>
    <i>
      <x v="62"/>
    </i>
    <i>
      <x v="63"/>
    </i>
    <i>
      <x v="64"/>
    </i>
    <i>
      <x v="67"/>
    </i>
    <i>
      <x v="69"/>
    </i>
    <i>
      <x v="70"/>
    </i>
    <i>
      <x v="71"/>
    </i>
    <i>
      <x v="73"/>
    </i>
    <i>
      <x v="74"/>
    </i>
    <i>
      <x v="76"/>
    </i>
    <i>
      <x v="77"/>
    </i>
    <i>
      <x v="78"/>
    </i>
    <i>
      <x v="80"/>
    </i>
    <i>
      <x v="81"/>
    </i>
    <i>
      <x v="82"/>
    </i>
    <i>
      <x v="83"/>
    </i>
    <i>
      <x v="84"/>
    </i>
    <i>
      <x v="85"/>
    </i>
    <i>
      <x v="86"/>
    </i>
    <i>
      <x v="87"/>
    </i>
    <i>
      <x v="88"/>
    </i>
    <i>
      <x v="89"/>
    </i>
    <i>
      <x v="92"/>
    </i>
    <i>
      <x v="94"/>
    </i>
    <i>
      <x v="96"/>
    </i>
    <i>
      <x v="99"/>
    </i>
    <i>
      <x v="102"/>
    </i>
    <i>
      <x v="103"/>
    </i>
    <i>
      <x v="104"/>
    </i>
    <i>
      <x v="105"/>
    </i>
    <i>
      <x v="107"/>
    </i>
    <i>
      <x v="108"/>
    </i>
    <i>
      <x v="110"/>
    </i>
    <i>
      <x v="111"/>
    </i>
    <i>
      <x v="113"/>
    </i>
    <i>
      <x v="114"/>
    </i>
    <i>
      <x v="115"/>
    </i>
    <i>
      <x v="116"/>
    </i>
    <i>
      <x v="117"/>
    </i>
    <i>
      <x v="118"/>
    </i>
    <i>
      <x v="120"/>
    </i>
    <i>
      <x v="121"/>
    </i>
    <i>
      <x v="123"/>
    </i>
    <i>
      <x v="124"/>
    </i>
    <i>
      <x v="125"/>
    </i>
    <i>
      <x v="126"/>
    </i>
    <i>
      <x v="127"/>
    </i>
    <i>
      <x v="130"/>
    </i>
    <i>
      <x v="133"/>
    </i>
    <i>
      <x v="134"/>
    </i>
    <i>
      <x v="135"/>
    </i>
    <i>
      <x v="136"/>
    </i>
    <i>
      <x v="137"/>
    </i>
    <i>
      <x v="138"/>
    </i>
    <i>
      <x v="139"/>
    </i>
    <i>
      <x v="140"/>
    </i>
    <i>
      <x v="141"/>
    </i>
    <i>
      <x v="142"/>
    </i>
    <i>
      <x v="144"/>
    </i>
    <i>
      <x v="145"/>
    </i>
    <i>
      <x v="146"/>
    </i>
    <i>
      <x v="147"/>
    </i>
    <i>
      <x v="148"/>
    </i>
    <i>
      <x v="149"/>
    </i>
    <i>
      <x v="150"/>
    </i>
    <i>
      <x v="151"/>
    </i>
    <i>
      <x v="152"/>
    </i>
    <i>
      <x v="154"/>
    </i>
    <i>
      <x v="155"/>
    </i>
    <i>
      <x v="156"/>
    </i>
    <i>
      <x v="157"/>
    </i>
    <i>
      <x v="158"/>
    </i>
    <i>
      <x v="159"/>
    </i>
    <i>
      <x v="161"/>
    </i>
    <i>
      <x v="162"/>
    </i>
    <i>
      <x v="163"/>
    </i>
    <i>
      <x v="167"/>
    </i>
    <i>
      <x v="168"/>
    </i>
    <i>
      <x v="169"/>
    </i>
    <i>
      <x v="170"/>
    </i>
    <i>
      <x v="171"/>
    </i>
    <i>
      <x v="173"/>
    </i>
    <i>
      <x v="174"/>
    </i>
    <i>
      <x v="175"/>
    </i>
    <i>
      <x v="177"/>
    </i>
    <i>
      <x v="178"/>
    </i>
    <i>
      <x v="179"/>
    </i>
    <i>
      <x v="180"/>
    </i>
    <i>
      <x v="182"/>
    </i>
    <i>
      <x v="183"/>
    </i>
    <i>
      <x v="184"/>
    </i>
    <i>
      <x v="185"/>
    </i>
    <i>
      <x v="187"/>
    </i>
    <i>
      <x v="188"/>
    </i>
    <i>
      <x v="189"/>
    </i>
    <i>
      <x v="190"/>
    </i>
    <i>
      <x v="191"/>
    </i>
    <i>
      <x v="192"/>
    </i>
    <i>
      <x v="193"/>
    </i>
    <i>
      <x v="195"/>
    </i>
    <i>
      <x v="196"/>
    </i>
    <i>
      <x v="197"/>
    </i>
    <i>
      <x v="198"/>
    </i>
    <i>
      <x v="199"/>
    </i>
    <i>
      <x v="200"/>
    </i>
    <i>
      <x v="202"/>
    </i>
    <i>
      <x v="204"/>
    </i>
    <i>
      <x v="205"/>
    </i>
    <i>
      <x v="206"/>
    </i>
    <i>
      <x v="207"/>
    </i>
    <i>
      <x v="208"/>
    </i>
    <i>
      <x v="209"/>
    </i>
    <i>
      <x v="210"/>
    </i>
    <i>
      <x v="211"/>
    </i>
    <i>
      <x v="213"/>
    </i>
    <i>
      <x v="214"/>
    </i>
    <i>
      <x v="215"/>
    </i>
    <i>
      <x v="216"/>
    </i>
    <i>
      <x v="217"/>
    </i>
    <i>
      <x v="218"/>
    </i>
    <i>
      <x v="219"/>
    </i>
    <i>
      <x v="223"/>
    </i>
    <i>
      <x v="224"/>
    </i>
    <i>
      <x v="225"/>
    </i>
    <i>
      <x v="226"/>
    </i>
    <i>
      <x v="227"/>
    </i>
    <i>
      <x v="230"/>
    </i>
    <i>
      <x v="232"/>
    </i>
    <i>
      <x v="234"/>
    </i>
    <i>
      <x v="235"/>
    </i>
    <i>
      <x v="236"/>
    </i>
    <i>
      <x v="238"/>
    </i>
    <i>
      <x v="239"/>
    </i>
    <i>
      <x v="240"/>
    </i>
    <i>
      <x v="241"/>
    </i>
    <i>
      <x v="242"/>
    </i>
    <i>
      <x v="244"/>
    </i>
    <i t="grand">
      <x/>
    </i>
  </rowItems>
  <colItems count="1">
    <i/>
  </colItems>
  <dataFields count="1">
    <dataField name="Total Amount" fld="4" baseField="0" baseItem="2"/>
  </dataField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ED0BF17-2CA9-4F90-97A5-193CF9424C09}" name="PivotTable1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Month">
  <location ref="D42:E222" firstHeaderRow="1" firstDataRow="1" firstDataCol="1"/>
  <pivotFields count="8">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8">
        <item x="6"/>
        <item x="1"/>
        <item x="2"/>
        <item x="3"/>
        <item x="4"/>
        <item x="5"/>
        <item x="0"/>
        <item t="default"/>
      </items>
    </pivotField>
    <pivotField showAll="0">
      <items count="8">
        <item x="6"/>
        <item x="0"/>
        <item x="1"/>
        <item x="3"/>
        <item x="5"/>
        <item x="2"/>
        <item x="4"/>
        <item t="default"/>
      </items>
    </pivotField>
    <pivotField dataField="1" numFmtId="2" showAll="0">
      <items count="13">
        <item x="0"/>
        <item x="1"/>
        <item x="2"/>
        <item x="3"/>
        <item x="4"/>
        <item x="5"/>
        <item x="6"/>
        <item x="7"/>
        <item x="8"/>
        <item x="9"/>
        <item x="10"/>
        <item x="11"/>
        <item t="default"/>
      </items>
    </pivotField>
    <pivotField numFmtId="164"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showAll="0">
      <items count="6">
        <item x="0"/>
        <item x="1"/>
        <item x="4"/>
        <item x="2"/>
        <item x="3"/>
        <item t="default"/>
      </items>
    </pivotField>
    <pivotField showAll="0"/>
    <pivotField showAll="0" defaultSubtotal="0">
      <items count="14">
        <item sd="0" x="0"/>
        <item sd="0" x="1"/>
        <item sd="0" x="2"/>
        <item sd="0" x="3"/>
        <item sd="0" x="4"/>
        <item sd="0" x="5"/>
        <item sd="0" x="6"/>
        <item sd="0" x="7"/>
        <item sd="0" x="8"/>
        <item sd="0" x="9"/>
        <item sd="0" x="10"/>
        <item sd="0" x="11"/>
        <item sd="0" x="12"/>
        <item sd="0" x="13"/>
      </items>
    </pivotField>
  </pivotFields>
  <rowFields count="1">
    <field x="0"/>
  </rowFields>
  <rowItems count="180">
    <i>
      <x v="2"/>
    </i>
    <i>
      <x v="5"/>
    </i>
    <i>
      <x v="6"/>
    </i>
    <i>
      <x v="7"/>
    </i>
    <i>
      <x v="8"/>
    </i>
    <i>
      <x v="10"/>
    </i>
    <i>
      <x v="11"/>
    </i>
    <i>
      <x v="13"/>
    </i>
    <i>
      <x v="14"/>
    </i>
    <i>
      <x v="15"/>
    </i>
    <i>
      <x v="16"/>
    </i>
    <i>
      <x v="17"/>
    </i>
    <i>
      <x v="18"/>
    </i>
    <i>
      <x v="19"/>
    </i>
    <i>
      <x v="21"/>
    </i>
    <i>
      <x v="22"/>
    </i>
    <i>
      <x v="24"/>
    </i>
    <i>
      <x v="26"/>
    </i>
    <i>
      <x v="27"/>
    </i>
    <i>
      <x v="28"/>
    </i>
    <i>
      <x v="29"/>
    </i>
    <i>
      <x v="31"/>
    </i>
    <i>
      <x v="32"/>
    </i>
    <i>
      <x v="33"/>
    </i>
    <i>
      <x v="34"/>
    </i>
    <i>
      <x v="36"/>
    </i>
    <i>
      <x v="37"/>
    </i>
    <i>
      <x v="39"/>
    </i>
    <i>
      <x v="40"/>
    </i>
    <i>
      <x v="42"/>
    </i>
    <i>
      <x v="43"/>
    </i>
    <i>
      <x v="44"/>
    </i>
    <i>
      <x v="45"/>
    </i>
    <i>
      <x v="47"/>
    </i>
    <i>
      <x v="49"/>
    </i>
    <i>
      <x v="50"/>
    </i>
    <i>
      <x v="51"/>
    </i>
    <i>
      <x v="52"/>
    </i>
    <i>
      <x v="54"/>
    </i>
    <i>
      <x v="56"/>
    </i>
    <i>
      <x v="58"/>
    </i>
    <i>
      <x v="59"/>
    </i>
    <i>
      <x v="62"/>
    </i>
    <i>
      <x v="63"/>
    </i>
    <i>
      <x v="64"/>
    </i>
    <i>
      <x v="67"/>
    </i>
    <i>
      <x v="69"/>
    </i>
    <i>
      <x v="70"/>
    </i>
    <i>
      <x v="71"/>
    </i>
    <i>
      <x v="73"/>
    </i>
    <i>
      <x v="74"/>
    </i>
    <i>
      <x v="76"/>
    </i>
    <i>
      <x v="77"/>
    </i>
    <i>
      <x v="78"/>
    </i>
    <i>
      <x v="80"/>
    </i>
    <i>
      <x v="81"/>
    </i>
    <i>
      <x v="82"/>
    </i>
    <i>
      <x v="83"/>
    </i>
    <i>
      <x v="84"/>
    </i>
    <i>
      <x v="85"/>
    </i>
    <i>
      <x v="86"/>
    </i>
    <i>
      <x v="87"/>
    </i>
    <i>
      <x v="88"/>
    </i>
    <i>
      <x v="89"/>
    </i>
    <i>
      <x v="92"/>
    </i>
    <i>
      <x v="94"/>
    </i>
    <i>
      <x v="96"/>
    </i>
    <i>
      <x v="99"/>
    </i>
    <i>
      <x v="102"/>
    </i>
    <i>
      <x v="103"/>
    </i>
    <i>
      <x v="104"/>
    </i>
    <i>
      <x v="105"/>
    </i>
    <i>
      <x v="107"/>
    </i>
    <i>
      <x v="108"/>
    </i>
    <i>
      <x v="110"/>
    </i>
    <i>
      <x v="111"/>
    </i>
    <i>
      <x v="113"/>
    </i>
    <i>
      <x v="114"/>
    </i>
    <i>
      <x v="115"/>
    </i>
    <i>
      <x v="116"/>
    </i>
    <i>
      <x v="117"/>
    </i>
    <i>
      <x v="118"/>
    </i>
    <i>
      <x v="120"/>
    </i>
    <i>
      <x v="121"/>
    </i>
    <i>
      <x v="123"/>
    </i>
    <i>
      <x v="124"/>
    </i>
    <i>
      <x v="125"/>
    </i>
    <i>
      <x v="126"/>
    </i>
    <i>
      <x v="127"/>
    </i>
    <i>
      <x v="130"/>
    </i>
    <i>
      <x v="133"/>
    </i>
    <i>
      <x v="134"/>
    </i>
    <i>
      <x v="135"/>
    </i>
    <i>
      <x v="136"/>
    </i>
    <i>
      <x v="137"/>
    </i>
    <i>
      <x v="138"/>
    </i>
    <i>
      <x v="139"/>
    </i>
    <i>
      <x v="140"/>
    </i>
    <i>
      <x v="141"/>
    </i>
    <i>
      <x v="142"/>
    </i>
    <i>
      <x v="144"/>
    </i>
    <i>
      <x v="145"/>
    </i>
    <i>
      <x v="146"/>
    </i>
    <i>
      <x v="147"/>
    </i>
    <i>
      <x v="148"/>
    </i>
    <i>
      <x v="149"/>
    </i>
    <i>
      <x v="150"/>
    </i>
    <i>
      <x v="151"/>
    </i>
    <i>
      <x v="152"/>
    </i>
    <i>
      <x v="154"/>
    </i>
    <i>
      <x v="155"/>
    </i>
    <i>
      <x v="156"/>
    </i>
    <i>
      <x v="157"/>
    </i>
    <i>
      <x v="158"/>
    </i>
    <i>
      <x v="159"/>
    </i>
    <i>
      <x v="161"/>
    </i>
    <i>
      <x v="162"/>
    </i>
    <i>
      <x v="163"/>
    </i>
    <i>
      <x v="167"/>
    </i>
    <i>
      <x v="168"/>
    </i>
    <i>
      <x v="169"/>
    </i>
    <i>
      <x v="170"/>
    </i>
    <i>
      <x v="171"/>
    </i>
    <i>
      <x v="173"/>
    </i>
    <i>
      <x v="174"/>
    </i>
    <i>
      <x v="175"/>
    </i>
    <i>
      <x v="177"/>
    </i>
    <i>
      <x v="178"/>
    </i>
    <i>
      <x v="179"/>
    </i>
    <i>
      <x v="180"/>
    </i>
    <i>
      <x v="182"/>
    </i>
    <i>
      <x v="183"/>
    </i>
    <i>
      <x v="184"/>
    </i>
    <i>
      <x v="185"/>
    </i>
    <i>
      <x v="187"/>
    </i>
    <i>
      <x v="188"/>
    </i>
    <i>
      <x v="189"/>
    </i>
    <i>
      <x v="190"/>
    </i>
    <i>
      <x v="191"/>
    </i>
    <i>
      <x v="192"/>
    </i>
    <i>
      <x v="193"/>
    </i>
    <i>
      <x v="195"/>
    </i>
    <i>
      <x v="196"/>
    </i>
    <i>
      <x v="197"/>
    </i>
    <i>
      <x v="198"/>
    </i>
    <i>
      <x v="199"/>
    </i>
    <i>
      <x v="200"/>
    </i>
    <i>
      <x v="202"/>
    </i>
    <i>
      <x v="204"/>
    </i>
    <i>
      <x v="205"/>
    </i>
    <i>
      <x v="206"/>
    </i>
    <i>
      <x v="207"/>
    </i>
    <i>
      <x v="208"/>
    </i>
    <i>
      <x v="209"/>
    </i>
    <i>
      <x v="210"/>
    </i>
    <i>
      <x v="211"/>
    </i>
    <i>
      <x v="213"/>
    </i>
    <i>
      <x v="214"/>
    </i>
    <i>
      <x v="215"/>
    </i>
    <i>
      <x v="216"/>
    </i>
    <i>
      <x v="217"/>
    </i>
    <i>
      <x v="218"/>
    </i>
    <i>
      <x v="219"/>
    </i>
    <i>
      <x v="223"/>
    </i>
    <i>
      <x v="224"/>
    </i>
    <i>
      <x v="225"/>
    </i>
    <i>
      <x v="226"/>
    </i>
    <i>
      <x v="227"/>
    </i>
    <i>
      <x v="230"/>
    </i>
    <i>
      <x v="232"/>
    </i>
    <i>
      <x v="234"/>
    </i>
    <i>
      <x v="235"/>
    </i>
    <i>
      <x v="236"/>
    </i>
    <i>
      <x v="238"/>
    </i>
    <i>
      <x v="239"/>
    </i>
    <i>
      <x v="240"/>
    </i>
    <i>
      <x v="241"/>
    </i>
    <i>
      <x v="242"/>
    </i>
    <i>
      <x v="244"/>
    </i>
    <i t="grand">
      <x/>
    </i>
  </rowItems>
  <colItems count="1">
    <i/>
  </colItems>
  <dataFields count="1">
    <dataField name="Total box" fld="3" baseField="0" baseItem="2"/>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220AE562-490B-4E27-A73B-DF9C4D97F124}" sourceName="Sales Person">
  <pivotTables>
    <pivotTable tabId="8" name="PivotTable3"/>
    <pivotTable tabId="8" name="PivotTable10"/>
    <pivotTable tabId="8" name="PivotTable11"/>
    <pivotTable tabId="8" name="PivotTable12"/>
    <pivotTable tabId="8" name="PivotTable13"/>
    <pivotTable tabId="8" name="PivotTable14"/>
    <pivotTable tabId="8" name="PivotTable15"/>
    <pivotTable tabId="8" name="PivotTable2"/>
    <pivotTable tabId="8" name="PivotTable4"/>
    <pivotTable tabId="8" name="PivotTable5"/>
    <pivotTable tabId="8" name="PivotTable7"/>
    <pivotTable tabId="8" name="PivotTable8"/>
    <pivotTable tabId="8" name="PivotTable9"/>
    <pivotTable tabId="8" name="PivotTable17"/>
    <pivotTable tabId="8" name="PivotTable18"/>
    <pivotTable tabId="8" name="PivotTable19"/>
    <pivotTable tabId="8" name="PivotTable20"/>
    <pivotTable tabId="8" name="PivotTable21"/>
  </pivotTables>
  <data>
    <tabular pivotCacheId="471599926">
      <items count="7">
        <i x="6" s="1"/>
        <i x="0" s="1"/>
        <i x="1" s="1"/>
        <i x="3" s="1"/>
        <i x="5"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64AED84B-A6B0-46AD-AD06-7606DE67BC33}" sourceName="Product">
  <pivotTables>
    <pivotTable tabId="8" name="PivotTable2"/>
    <pivotTable tabId="8" name="PivotTable10"/>
    <pivotTable tabId="8" name="PivotTable11"/>
    <pivotTable tabId="8" name="PivotTable12"/>
    <pivotTable tabId="8" name="PivotTable13"/>
    <pivotTable tabId="8" name="PivotTable14"/>
    <pivotTable tabId="8" name="PivotTable15"/>
    <pivotTable tabId="8" name="PivotTable3"/>
    <pivotTable tabId="8" name="PivotTable4"/>
    <pivotTable tabId="8" name="PivotTable5"/>
    <pivotTable tabId="8" name="PivotTable7"/>
    <pivotTable tabId="8" name="PivotTable8"/>
    <pivotTable tabId="8" name="PivotTable9"/>
    <pivotTable tabId="8" name="PivotTable17"/>
    <pivotTable tabId="8" name="PivotTable18"/>
    <pivotTable tabId="8" name="PivotTable19"/>
    <pivotTable tabId="8" name="PivotTable20"/>
    <pivotTable tabId="8" name="PivotTable21"/>
  </pivotTables>
  <data>
    <tabular pivotCacheId="471599926">
      <items count="7">
        <i x="6" s="1"/>
        <i x="1" s="1"/>
        <i x="2" s="1"/>
        <i x="3" s="1"/>
        <i x="4" s="1"/>
        <i x="5"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CF43B54A-8D51-490E-A6E1-5250F0E6F839}" sourceName="Country">
  <pivotTables>
    <pivotTable tabId="8" name="PivotTable4"/>
    <pivotTable tabId="8" name="PivotTable10"/>
    <pivotTable tabId="8" name="PivotTable11"/>
    <pivotTable tabId="8" name="PivotTable12"/>
    <pivotTable tabId="8" name="PivotTable13"/>
    <pivotTable tabId="8" name="PivotTable14"/>
    <pivotTable tabId="8" name="PivotTable15"/>
    <pivotTable tabId="8" name="PivotTable2"/>
    <pivotTable tabId="8" name="PivotTable3"/>
    <pivotTable tabId="8" name="PivotTable5"/>
    <pivotTable tabId="8" name="PivotTable7"/>
    <pivotTable tabId="8" name="PivotTable8"/>
    <pivotTable tabId="8" name="PivotTable9"/>
    <pivotTable tabId="8" name="PivotTable17"/>
    <pivotTable tabId="8" name="PivotTable18"/>
    <pivotTable tabId="8" name="PivotTable19"/>
    <pivotTable tabId="8" name="PivotTable20"/>
    <pivotTable tabId="8" name="PivotTable21"/>
  </pivotTables>
  <data>
    <tabular pivotCacheId="471599926">
      <items count="5">
        <i x="0" s="1"/>
        <i x="1" s="1"/>
        <i x="4"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08144751-E00C-4388-BCD4-27DD06830898}" sourceName="Months">
  <pivotTables>
    <pivotTable tabId="8" name="PivotTable5"/>
    <pivotTable tabId="8" name="PivotTable10"/>
    <pivotTable tabId="8" name="PivotTable11"/>
    <pivotTable tabId="8" name="PivotTable12"/>
    <pivotTable tabId="8" name="PivotTable13"/>
    <pivotTable tabId="8" name="PivotTable14"/>
    <pivotTable tabId="8" name="PivotTable15"/>
    <pivotTable tabId="8" name="PivotTable2"/>
    <pivotTable tabId="8" name="PivotTable3"/>
    <pivotTable tabId="8" name="PivotTable4"/>
    <pivotTable tabId="8" name="PivotTable7"/>
    <pivotTable tabId="8" name="PivotTable8"/>
    <pivotTable tabId="8" name="PivotTable9"/>
    <pivotTable tabId="8" name="PivotTable17"/>
    <pivotTable tabId="8" name="PivotTable18"/>
    <pivotTable tabId="8" name="PivotTable19"/>
    <pivotTable tabId="8" name="PivotTable20"/>
    <pivotTable tabId="8" name="PivotTable21"/>
  </pivotTables>
  <data>
    <tabular pivotCacheId="471599926">
      <items count="14">
        <i x="1" s="1"/>
        <i x="2" s="1"/>
        <i x="3" s="1"/>
        <i x="4" s="1"/>
        <i x="5" s="1"/>
        <i x="6" s="1"/>
        <i x="7" s="1"/>
        <i x="8" s="1"/>
        <i x="9" s="1" nd="1"/>
        <i x="10" s="1" nd="1"/>
        <i x="11" s="1" nd="1"/>
        <i x="12" s="1" nd="1"/>
        <i x="0" s="1" nd="1"/>
        <i x="13"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 xr10:uid="{8E958E53-952C-4289-A797-42BBCA47189C}" sourceName=" ">
  <pivotTables>
    <pivotTable tabId="8" name="PivotTable7"/>
    <pivotTable tabId="8" name="PivotTable10"/>
    <pivotTable tabId="8" name="PivotTable11"/>
    <pivotTable tabId="8" name="PivotTable12"/>
    <pivotTable tabId="8" name="PivotTable13"/>
    <pivotTable tabId="8" name="PivotTable14"/>
    <pivotTable tabId="8" name="PivotTable15"/>
    <pivotTable tabId="8" name="PivotTable2"/>
    <pivotTable tabId="8" name="PivotTable3"/>
    <pivotTable tabId="8" name="PivotTable4"/>
    <pivotTable tabId="8" name="PivotTable5"/>
    <pivotTable tabId="8" name="PivotTable8"/>
    <pivotTable tabId="8" name="PivotTable9"/>
    <pivotTable tabId="8" name="PivotTable17"/>
    <pivotTable tabId="8" name="PivotTable18"/>
    <pivotTable tabId="8" name="PivotTable19"/>
    <pivotTable tabId="8" name="PivotTable20"/>
    <pivotTable tabId="8" name="PivotTable21"/>
  </pivotTables>
  <data>
    <tabular pivotCacheId="471599926">
      <items count="368">
        <i x="223" s="1"/>
        <i x="10" s="1"/>
        <i x="192" s="1"/>
        <i x="162" s="1"/>
        <i x="70" s="1"/>
        <i x="102" s="1"/>
        <i x="224" s="1"/>
        <i x="42" s="1"/>
        <i x="11" s="1"/>
        <i x="193" s="1"/>
        <i x="163" s="1"/>
        <i x="71" s="1"/>
        <i x="103" s="1"/>
        <i x="225" s="1"/>
        <i x="43" s="1"/>
        <i x="133" s="1"/>
        <i x="104" s="1"/>
        <i x="226" s="1"/>
        <i x="44" s="1"/>
        <i x="13" s="1"/>
        <i x="195" s="1"/>
        <i x="73" s="1"/>
        <i x="134" s="1"/>
        <i x="105" s="1"/>
        <i x="227" s="1"/>
        <i x="45" s="1"/>
        <i x="14" s="1"/>
        <i x="196" s="1"/>
        <i x="74" s="1"/>
        <i x="135" s="1"/>
        <i x="15" s="1"/>
        <i x="197" s="1"/>
        <i x="167" s="1"/>
        <i x="136" s="1"/>
        <i x="107" s="1"/>
        <i x="47" s="1"/>
        <i x="16" s="1"/>
        <i x="198" s="1"/>
        <i x="168" s="1"/>
        <i x="76" s="1"/>
        <i x="137" s="1"/>
        <i x="108" s="1"/>
        <i x="230" s="1"/>
        <i x="17" s="1"/>
        <i x="199" s="1"/>
        <i x="169" s="1"/>
        <i x="77" s="1"/>
        <i x="138" s="1"/>
        <i x="49" s="1"/>
        <i x="18" s="1"/>
        <i x="200" s="1"/>
        <i x="170" s="1"/>
        <i x="78" s="1"/>
        <i x="139" s="1"/>
        <i x="110" s="1"/>
        <i x="232" s="1"/>
        <i x="50" s="1"/>
        <i x="19" s="1"/>
        <i x="171" s="1"/>
        <i x="140" s="1"/>
        <i x="92" s="1"/>
        <i x="214" s="1"/>
        <i x="32" s="1"/>
        <i x="183" s="1"/>
        <i x="111" s="1"/>
        <i x="51" s="1"/>
        <i x="202" s="1"/>
        <i x="80" s="1"/>
        <i x="141" s="1"/>
        <i x="234" s="1"/>
        <i x="52" s="1"/>
        <i x="21" s="1"/>
        <i x="173" s="1"/>
        <i x="81" s="1"/>
        <i x="142" s="1"/>
        <i x="113" s="1"/>
        <i x="235" s="1"/>
        <i x="22" s="1"/>
        <i x="204" s="1"/>
        <i x="174" s="1"/>
        <i x="82" s="1"/>
        <i x="114" s="1"/>
        <i x="236" s="1"/>
        <i x="54" s="1"/>
        <i x="205" s="1"/>
        <i x="175" s="1"/>
        <i x="83" s="1"/>
        <i x="144" s="1"/>
        <i x="115" s="1"/>
        <i x="24" s="1"/>
        <i x="206" s="1"/>
        <i x="84" s="1"/>
        <i x="145" s="1"/>
        <i x="116" s="1"/>
        <i x="238" s="1"/>
        <i x="56" s="1"/>
        <i x="207" s="1"/>
        <i x="177" s="1"/>
        <i x="85" s="1"/>
        <i x="146" s="1"/>
        <i x="117" s="1"/>
        <i x="239" s="1"/>
        <i x="26" s="1"/>
        <i x="208" s="1"/>
        <i x="178" s="1"/>
        <i x="86" s="1"/>
        <i x="147" s="1"/>
        <i x="118" s="1"/>
        <i x="240" s="1"/>
        <i x="58" s="1"/>
        <i x="27" s="1"/>
        <i x="209" s="1"/>
        <i x="179" s="1"/>
        <i x="87" s="1"/>
        <i x="148" s="1"/>
        <i x="241" s="1"/>
        <i x="59" s="1"/>
        <i x="28" s="1"/>
        <i x="210" s="1"/>
        <i x="180" s="1"/>
        <i x="88" s="1"/>
        <i x="149" s="1"/>
        <i x="120" s="1"/>
        <i x="242" s="1"/>
        <i x="29" s="1"/>
        <i x="211" s="1"/>
        <i x="89" s="1"/>
        <i x="150" s="1"/>
        <i x="215" s="1"/>
        <i x="33" s="1"/>
        <i x="2" s="1"/>
        <i x="184" s="1"/>
        <i x="154" s="1"/>
        <i x="62" s="1"/>
        <i x="123" s="1"/>
        <i x="121" s="1"/>
        <i x="182" s="1"/>
        <i x="151" s="1"/>
        <i x="244" s="1"/>
        <i x="31" s="1"/>
        <i x="213" s="1"/>
        <i x="152" s="1"/>
        <i x="94" s="1"/>
        <i x="216" s="1"/>
        <i x="34" s="1"/>
        <i x="185" s="1"/>
        <i x="155" s="1"/>
        <i x="63" s="1"/>
        <i x="124" s="1"/>
        <i x="217" s="1"/>
        <i x="156" s="1"/>
        <i x="64" s="1"/>
        <i x="125" s="1"/>
        <i x="96" s="1"/>
        <i x="218" s="1"/>
        <i x="36" s="1"/>
        <i x="5" s="1"/>
        <i x="187" s="1"/>
        <i x="157" s="1"/>
        <i x="126" s="1"/>
        <i x="219" s="1"/>
        <i x="37" s="1"/>
        <i x="6" s="1"/>
        <i x="188" s="1"/>
        <i x="158" s="1"/>
        <i x="127" s="1"/>
        <i x="7" s="1"/>
        <i x="189" s="1"/>
        <i x="159" s="1"/>
        <i x="67" s="1"/>
        <i x="99" s="1"/>
        <i x="39" s="1"/>
        <i x="8" s="1"/>
        <i x="190" s="1"/>
        <i x="40" s="1"/>
        <i x="191" s="1"/>
        <i x="161" s="1"/>
        <i x="69" s="1"/>
        <i x="130" s="1"/>
        <i x="0" s="1" nd="1"/>
        <i x="367" s="1" nd="1"/>
        <i x="101" s="1" nd="1"/>
        <i x="345" s="1" nd="1"/>
        <i x="41" s="1" nd="1"/>
        <i x="131" s="1" nd="1"/>
        <i x="315" s="1" nd="1"/>
        <i x="284" s="1" nd="1"/>
        <i x="254" s="1" nd="1"/>
        <i x="346" s="1" nd="1"/>
        <i x="132" s="1" nd="1"/>
        <i x="316" s="1" nd="1"/>
        <i x="285" s="1" nd="1"/>
        <i x="255" s="1" nd="1"/>
        <i x="347" s="1" nd="1"/>
        <i x="12" s="1" nd="1"/>
        <i x="194" s="1" nd="1"/>
        <i x="164" s="1" nd="1"/>
        <i x="72" s="1" nd="1"/>
        <i x="317" s="1" nd="1"/>
        <i x="286" s="1" nd="1"/>
        <i x="256" s="1" nd="1"/>
        <i x="348" s="1" nd="1"/>
        <i x="165" s="1" nd="1"/>
        <i x="318" s="1" nd="1"/>
        <i x="287" s="1" nd="1"/>
        <i x="257" s="1" nd="1"/>
        <i x="349" s="1" nd="1"/>
        <i x="166" s="1" nd="1"/>
        <i x="319" s="1" nd="1"/>
        <i x="288" s="1" nd="1"/>
        <i x="258" s="1" nd="1"/>
        <i x="106" s="1" nd="1"/>
        <i x="228" s="1" nd="1"/>
        <i x="350" s="1" nd="1"/>
        <i x="46" s="1" nd="1"/>
        <i x="75" s="1" nd="1"/>
        <i x="320" s="1" nd="1"/>
        <i x="289" s="1" nd="1"/>
        <i x="259" s="1" nd="1"/>
        <i x="229" s="1" nd="1"/>
        <i x="351" s="1" nd="1"/>
        <i x="321" s="1" nd="1"/>
        <i x="290" s="1" nd="1"/>
        <i x="260" s="1" nd="1"/>
        <i x="352" s="1" nd="1"/>
        <i x="48" s="1" nd="1"/>
        <i x="322" s="1" nd="1"/>
        <i x="291" s="1" nd="1"/>
        <i x="261" s="1" nd="1"/>
        <i x="109" s="1" nd="1"/>
        <i x="231" s="1" nd="1"/>
        <i x="353" s="1" nd="1"/>
        <i x="323" s="1" nd="1"/>
        <i x="292" s="1" nd="1"/>
        <i x="262" s="1" nd="1"/>
        <i x="354" s="1" nd="1"/>
        <i x="201" s="1" nd="1"/>
        <i x="79" s="1" nd="1"/>
        <i x="324" s="1" nd="1"/>
        <i x="293" s="1" nd="1"/>
        <i x="263" s="1" nd="1"/>
        <i x="336" s="1" nd="1"/>
        <i x="1" s="1" nd="1"/>
        <i x="153" s="1" nd="1"/>
        <i x="61" s="1" nd="1"/>
        <i x="122" s="1" nd="1"/>
        <i x="306" s="1" nd="1"/>
        <i x="275" s="1" nd="1"/>
        <i x="245" s="1" nd="1"/>
        <i x="233" s="1" nd="1"/>
        <i x="355" s="1" nd="1"/>
        <i x="20" s="1" nd="1"/>
        <i x="172" s="1" nd="1"/>
        <i x="325" s="1" nd="1"/>
        <i x="294" s="1" nd="1"/>
        <i x="264" s="1" nd="1"/>
        <i x="112" s="1" nd="1"/>
        <i x="356" s="1" nd="1"/>
        <i x="203" s="1" nd="1"/>
        <i x="326" s="1" nd="1"/>
        <i x="295" s="1" nd="1"/>
        <i x="265" s="1" nd="1"/>
        <i x="357" s="1" nd="1"/>
        <i x="53" s="1" nd="1"/>
        <i x="143" s="1" nd="1"/>
        <i x="327" s="1" nd="1"/>
        <i x="296" s="1" nd="1"/>
        <i x="266" s="1" nd="1"/>
        <i x="358" s="1" nd="1"/>
        <i x="23" s="1" nd="1"/>
        <i x="328" s="1" nd="1"/>
        <i x="297" s="1" nd="1"/>
        <i x="267" s="1" nd="1"/>
        <i x="237" s="1" nd="1"/>
        <i x="359" s="1" nd="1"/>
        <i x="55" s="1" nd="1"/>
        <i x="176" s="1" nd="1"/>
        <i x="329" s="1" nd="1"/>
        <i x="298" s="1" nd="1"/>
        <i x="268" s="1" nd="1"/>
        <i x="360" s="1" nd="1"/>
        <i x="25" s="1" nd="1"/>
        <i x="330" s="1" nd="1"/>
        <i x="299" s="1" nd="1"/>
        <i x="269" s="1" nd="1"/>
        <i x="361" s="1" nd="1"/>
        <i x="57" s="1" nd="1"/>
        <i x="331" s="1" nd="1"/>
        <i x="300" s="1" nd="1"/>
        <i x="270" s="1" nd="1"/>
        <i x="362" s="1" nd="1"/>
        <i x="332" s="1" nd="1"/>
        <i x="301" s="1" nd="1"/>
        <i x="271" s="1" nd="1"/>
        <i x="119" s="1" nd="1"/>
        <i x="363" s="1" nd="1"/>
        <i x="333" s="1" nd="1"/>
        <i x="302" s="1" nd="1"/>
        <i x="272" s="1" nd="1"/>
        <i x="364" s="1" nd="1"/>
        <i x="60" s="1" nd="1"/>
        <i x="181" s="1" nd="1"/>
        <i x="334" s="1" nd="1"/>
        <i x="303" s="1" nd="1"/>
        <i x="273" s="1" nd="1"/>
        <i x="93" s="1" nd="1"/>
        <i x="337" s="1" nd="1"/>
        <i x="307" s="1" nd="1"/>
        <i x="276" s="1" nd="1"/>
        <i x="246" s="1" nd="1"/>
        <i x="243" s="1" nd="1"/>
        <i x="365" s="1" nd="1"/>
        <i x="30" s="1" nd="1"/>
        <i x="212" s="1" nd="1"/>
        <i x="90" s="1" nd="1"/>
        <i x="335" s="1" nd="1"/>
        <i x="304" s="1" nd="1"/>
        <i x="274" s="1" nd="1"/>
        <i x="366" s="1" nd="1"/>
        <i x="91" s="1" nd="1"/>
        <i x="305" s="1" nd="1"/>
        <i x="338" s="1" nd="1"/>
        <i x="3" s="1" nd="1"/>
        <i x="308" s="1" nd="1"/>
        <i x="277" s="1" nd="1"/>
        <i x="247" s="1" nd="1"/>
        <i x="95" s="1" nd="1"/>
        <i x="339" s="1" nd="1"/>
        <i x="35" s="1" nd="1"/>
        <i x="4" s="1" nd="1"/>
        <i x="186" s="1" nd="1"/>
        <i x="309" s="1" nd="1"/>
        <i x="278" s="1" nd="1"/>
        <i x="248" s="1" nd="1"/>
        <i x="340" s="1" nd="1"/>
        <i x="65" s="1" nd="1"/>
        <i x="310" s="1" nd="1"/>
        <i x="279" s="1" nd="1"/>
        <i x="249" s="1" nd="1"/>
        <i x="97" s="1" nd="1"/>
        <i x="341" s="1" nd="1"/>
        <i x="66" s="1" nd="1"/>
        <i x="311" s="1" nd="1"/>
        <i x="280" s="1" nd="1"/>
        <i x="250" s="1" nd="1"/>
        <i x="98" s="1" nd="1"/>
        <i x="220" s="1" nd="1"/>
        <i x="342" s="1" nd="1"/>
        <i x="38" s="1" nd="1"/>
        <i x="128" s="1" nd="1"/>
        <i x="312" s="1" nd="1"/>
        <i x="281" s="1" nd="1"/>
        <i x="251" s="1" nd="1"/>
        <i x="221" s="1" nd="1"/>
        <i x="343" s="1" nd="1"/>
        <i x="160" s="1" nd="1"/>
        <i x="68" s="1" nd="1"/>
        <i x="129" s="1" nd="1"/>
        <i x="313" s="1" nd="1"/>
        <i x="282" s="1" nd="1"/>
        <i x="252" s="1" nd="1"/>
        <i x="100" s="1" nd="1"/>
        <i x="222" s="1" nd="1"/>
        <i x="344" s="1" nd="1"/>
        <i x="9" s="1" nd="1"/>
        <i x="314" s="1" nd="1"/>
        <i x="283" s="1" nd="1"/>
        <i x="25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xr10:uid="{9B4E15D4-56CA-4AAD-94E8-A43AB2539587}" cache="Slicer_Sales_Person" caption="Sales Person" startItem="3" style="SlicerStyleLight6" rowHeight="241300"/>
  <slicer name="Product" xr10:uid="{70542FE2-5CC3-41A0-AF5E-47CA733B4DD4}" cache="Slicer_Product" caption="Product" style="SlicerStyleLight6" rowHeight="241300"/>
  <slicer name="Country" xr10:uid="{5B3FDE5F-5895-449F-B3BD-644E27B5FA07}" cache="Slicer_Country" caption="Country" startItem="3" style="SlicerStyleLight6" rowHeight="241300"/>
  <slicer name="Months" xr10:uid="{F9B99ABC-16E7-4B81-82C0-01F7062B4E0F}" cache="Slicer_Months" caption="Months" style="SlicerStyleLight6" rowHeight="241300"/>
  <slicer name="Date " xr10:uid="{6EE6E2B2-DD62-48DB-9451-D828FDE91A26}" cache="Slicer_" caption="Date" style="SlicerStyleLight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1" xr10:uid="{B6110C4E-32AA-4386-AFD0-D6E24C69A866}" cache="Slicer_Sales_Person" caption="Sales Person" startItem="3" style="SlicerStyleLight6" rowHeight="241300"/>
  <slicer name="Product 1" xr10:uid="{D3CE606C-9FB4-43F1-939C-418D589C68BA}" cache="Slicer_Product" caption="Product" style="SlicerStyleLight6" rowHeight="241300"/>
  <slicer name="Country 1" xr10:uid="{4BEF4064-9FC1-4E7D-8BF7-0A2DB3123684}" cache="Slicer_Country" caption="Country" startItem="3" style="SlicerStyleLight6" rowHeight="241300"/>
  <slicer name="Months 1" xr10:uid="{111D1945-3543-4538-A86C-FA5E06910A54}" cache="Slicer_Months" caption="Months" style="SlicerStyleLight6" rowHeight="241300"/>
  <slicer name="Date  1" xr10:uid="{2516E41A-C497-4E40-A3D0-810C82BBC34B}" cache="Slicer_" caption="Date" style="SlicerStyleLight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9E6BF57-0CDD-4BF9-A433-35D4829D1AAE}" name="Table1" displayName="Table1" ref="A1:F334" totalsRowShown="0">
  <autoFilter ref="A1:F334" xr:uid="{29E6BF57-0CDD-4BF9-A433-35D4829D1AAE}"/>
  <tableColumns count="6">
    <tableColumn id="1" xr3:uid="{023B020E-523F-426C-98C8-7A691026A69B}" name="Date" dataDxfId="9"/>
    <tableColumn id="2" xr3:uid="{38E0BDD5-97C0-4B49-BE58-8AEE063379CA}" name="Product"/>
    <tableColumn id="3" xr3:uid="{8D7068B0-7647-4F37-9524-C3BF069E4F3B}" name="Sales Person"/>
    <tableColumn id="4" xr3:uid="{C8316F80-3278-4D2D-A7B3-BE3A68911E6E}" name="Boxes Shipped"/>
    <tableColumn id="5" xr3:uid="{1EDDB65F-7A75-434F-83CB-726ACC056D56}" name="Amount ($)"/>
    <tableColumn id="6" xr3:uid="{395ECD92-D9E8-419F-8F0A-9D9CEA0EEEF3}" name="Country"/>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6071EC4-BE88-41A1-B2F0-E98808ED4519}" name="Table2" displayName="Table2" ref="A1:G334" totalsRowShown="0">
  <autoFilter ref="A1:G334" xr:uid="{06071EC4-BE88-41A1-B2F0-E98808ED4519}"/>
  <tableColumns count="7">
    <tableColumn id="1" xr3:uid="{0D85704A-2668-475A-B93A-668756A07C31}" name=" Date" dataDxfId="8">
      <calculatedColumnFormula>IF(Raw_data!A2="",NA(),Raw_data!A2)</calculatedColumnFormula>
    </tableColumn>
    <tableColumn id="2" xr3:uid="{0EF4BC2B-07E3-41D4-B8CB-FBF1F1EEB67F}" name="Product" dataDxfId="7">
      <calculatedColumnFormula>IF(Raw_data!B2="",NA(),Raw_data!B2)</calculatedColumnFormula>
    </tableColumn>
    <tableColumn id="3" xr3:uid="{795F762F-55C7-4B95-8075-05EDC0F75FDD}" name="Sales Person" dataDxfId="6">
      <calculatedColumnFormula>IF(Raw_data!C2="",NA(),Raw_data!C2)</calculatedColumnFormula>
    </tableColumn>
    <tableColumn id="4" xr3:uid="{2C2BB2C1-A48E-4FF2-BA0D-70C6070FC1D9}" name="Boxes Shipped" dataDxfId="5">
      <calculatedColumnFormula>IF(Raw_data!D2="",NA(),Raw_data!D2)</calculatedColumnFormula>
    </tableColumn>
    <tableColumn id="5" xr3:uid="{75845038-AF43-4660-82F4-1FE0EA3C8AF1}" name="Amount ($)" dataDxfId="4">
      <calculatedColumnFormula>IF(Raw_data!E2="",NA(),Raw_data!E2)</calculatedColumnFormula>
    </tableColumn>
    <tableColumn id="6" xr3:uid="{B16BB14D-2D26-444B-B26F-19E19CFEE55A}" name="Country" dataDxfId="3">
      <calculatedColumnFormula>IF(Raw_data!F2="",NA(),Raw_data!F2)</calculatedColumnFormula>
    </tableColumn>
    <tableColumn id="7" xr3:uid="{28E2BC28-5044-4AA7-9B7D-F41E175B2B2F}" name="Duplicates" dataDxfId="2">
      <calculatedColumnFormula>COUNTIFS(A:A,A2,B:B,B2,C:C,C2,D:D,D2,E:E,E2,F:F,F2)</calculatedColumnFormula>
    </tableColumn>
  </tableColumns>
  <tableStyleInfo name="TableStyleMedium1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68E2025-36CA-4338-84AE-B7DDFCD16188}" name="Table3" displayName="Table3" ref="I1:M7" totalsRowShown="0">
  <autoFilter ref="I1:M7" xr:uid="{168E2025-36CA-4338-84AE-B7DDFCD16188}"/>
  <tableColumns count="5">
    <tableColumn id="1" xr3:uid="{A47F1FBD-8C15-4E27-BFF4-E3F5E1EAB2E4}" name="Columns"/>
    <tableColumn id="2" xr3:uid="{4385292D-A423-42BE-B74F-B750C4D03277}" name="NULL"/>
    <tableColumn id="3" xr3:uid="{783A9B2D-A667-4267-B81C-7BCCAA7591BE}" name="AVE"/>
    <tableColumn id="4" xr3:uid="{1EAEC273-4B57-4FB5-89DA-047C4F3753AA}" name="MEDIAN"/>
    <tableColumn id="5" xr3:uid="{5D368850-F696-4DE7-8461-86E6D4A4F962}" name="MODE"/>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D7FAA4C-8178-4A4A-AA0D-5EDD9AA07711}" name="Table4" displayName="Table4" ref="I18:J25" totalsRowShown="0">
  <autoFilter ref="I18:J25" xr:uid="{FD7FAA4C-8178-4A4A-AA0D-5EDD9AA07711}"/>
  <tableColumns count="2">
    <tableColumn id="1" xr3:uid="{4DA3426F-10E3-4193-A033-751001C3D4AA}" name="Column1" dataDxfId="1"/>
    <tableColumn id="2" xr3:uid="{92831113-7F55-40FD-B8D9-68D939A90115}" name="Column2" dataDxfId="0"/>
  </tableColumns>
  <tableStyleInfo name="TableStyleMedium1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CA1F281-F729-4962-A361-33D25FDA2B8E}" name="Table12" displayName="Table12" ref="P3:Q6" totalsRowShown="0">
  <autoFilter ref="P3:Q6" xr:uid="{4CA1F281-F729-4962-A361-33D25FDA2B8E}"/>
  <tableColumns count="2">
    <tableColumn id="1" xr3:uid="{01F7F525-FE74-4AC1-ABD9-6FEDB25D9D4B}" name="KPIS"/>
    <tableColumn id="2" xr3:uid="{F0E7219C-FF81-44A0-AC57-12D3063892B3}" name="Column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table" Target="../tables/table5.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B18" sqref="B18"/>
    </sheetView>
  </sheetViews>
  <sheetFormatPr defaultRowHeight="15" x14ac:dyDescent="0.25"/>
  <cols>
    <col min="1" max="16384" width="9.140625" style="32"/>
  </cols>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34"/>
  <sheetViews>
    <sheetView workbookViewId="0"/>
  </sheetViews>
  <sheetFormatPr defaultRowHeight="15" x14ac:dyDescent="0.25"/>
  <cols>
    <col min="1" max="1" width="29.5703125" customWidth="1"/>
    <col min="2" max="2" width="27.5703125" customWidth="1"/>
    <col min="3" max="3" width="22.140625" customWidth="1"/>
    <col min="4" max="4" width="18.28515625" customWidth="1"/>
    <col min="5" max="5" width="26" customWidth="1"/>
    <col min="6" max="6" width="16.28515625" customWidth="1"/>
  </cols>
  <sheetData>
    <row r="1" spans="1:6" x14ac:dyDescent="0.25">
      <c r="A1" t="s">
        <v>0</v>
      </c>
      <c r="B1" t="s">
        <v>1</v>
      </c>
      <c r="C1" t="s">
        <v>2</v>
      </c>
      <c r="D1" t="s">
        <v>3</v>
      </c>
      <c r="E1" t="s">
        <v>4</v>
      </c>
      <c r="F1" t="s">
        <v>5</v>
      </c>
    </row>
    <row r="2" spans="1:6" x14ac:dyDescent="0.25">
      <c r="A2" s="1">
        <v>44598</v>
      </c>
      <c r="B2" t="s">
        <v>6</v>
      </c>
      <c r="C2" t="s">
        <v>7</v>
      </c>
      <c r="D2">
        <v>7</v>
      </c>
      <c r="E2">
        <v>67.430000000000007</v>
      </c>
      <c r="F2" t="s">
        <v>8</v>
      </c>
    </row>
    <row r="3" spans="1:6" x14ac:dyDescent="0.25">
      <c r="A3" s="1">
        <v>44597</v>
      </c>
      <c r="B3" t="s">
        <v>9</v>
      </c>
      <c r="C3" t="s">
        <v>10</v>
      </c>
      <c r="D3">
        <v>18</v>
      </c>
      <c r="E3">
        <v>421.46</v>
      </c>
      <c r="F3" t="s">
        <v>11</v>
      </c>
    </row>
    <row r="4" spans="1:6" x14ac:dyDescent="0.25">
      <c r="A4" s="1">
        <v>44611</v>
      </c>
      <c r="B4" t="s">
        <v>12</v>
      </c>
      <c r="C4" t="s">
        <v>13</v>
      </c>
      <c r="D4">
        <v>2</v>
      </c>
      <c r="E4">
        <v>48.25</v>
      </c>
      <c r="F4" t="s">
        <v>14</v>
      </c>
    </row>
    <row r="5" spans="1:6" x14ac:dyDescent="0.25">
      <c r="A5" s="1">
        <v>44648</v>
      </c>
      <c r="B5" t="s">
        <v>6</v>
      </c>
      <c r="C5" t="s">
        <v>10</v>
      </c>
      <c r="D5">
        <v>5</v>
      </c>
      <c r="E5">
        <v>59.89</v>
      </c>
      <c r="F5" t="s">
        <v>14</v>
      </c>
    </row>
    <row r="6" spans="1:6" x14ac:dyDescent="0.25">
      <c r="A6" s="1">
        <v>44578</v>
      </c>
      <c r="B6" t="s">
        <v>15</v>
      </c>
      <c r="C6" t="s">
        <v>13</v>
      </c>
      <c r="D6">
        <v>8</v>
      </c>
      <c r="E6">
        <v>147.72999999999999</v>
      </c>
      <c r="F6" t="s">
        <v>16</v>
      </c>
    </row>
    <row r="7" spans="1:6" x14ac:dyDescent="0.25">
      <c r="A7" s="1">
        <v>44601</v>
      </c>
      <c r="B7" t="s">
        <v>15</v>
      </c>
      <c r="C7" t="s">
        <v>13</v>
      </c>
      <c r="D7">
        <v>18</v>
      </c>
      <c r="E7">
        <v>400.87</v>
      </c>
      <c r="F7" t="s">
        <v>16</v>
      </c>
    </row>
    <row r="8" spans="1:6" x14ac:dyDescent="0.25">
      <c r="A8" s="1">
        <v>44742</v>
      </c>
      <c r="B8" t="s">
        <v>9</v>
      </c>
      <c r="C8" t="s">
        <v>10</v>
      </c>
      <c r="D8">
        <v>3</v>
      </c>
      <c r="E8">
        <v>50.35</v>
      </c>
      <c r="F8" t="s">
        <v>8</v>
      </c>
    </row>
    <row r="9" spans="1:6" x14ac:dyDescent="0.25">
      <c r="A9" s="1">
        <v>44767</v>
      </c>
      <c r="B9" t="s">
        <v>17</v>
      </c>
      <c r="C9" t="s">
        <v>13</v>
      </c>
      <c r="D9">
        <v>13</v>
      </c>
      <c r="E9">
        <v>282.43</v>
      </c>
      <c r="F9" t="s">
        <v>16</v>
      </c>
    </row>
    <row r="10" spans="1:6" x14ac:dyDescent="0.25">
      <c r="A10" s="1">
        <v>44640</v>
      </c>
      <c r="B10" t="s">
        <v>18</v>
      </c>
      <c r="C10" t="s">
        <v>19</v>
      </c>
      <c r="D10">
        <v>17</v>
      </c>
      <c r="E10">
        <v>394.01</v>
      </c>
      <c r="F10" t="s">
        <v>14</v>
      </c>
    </row>
    <row r="11" spans="1:6" x14ac:dyDescent="0.25">
      <c r="A11" s="1">
        <v>44585</v>
      </c>
      <c r="B11" t="s">
        <v>9</v>
      </c>
      <c r="C11" t="s">
        <v>20</v>
      </c>
      <c r="D11">
        <v>7</v>
      </c>
      <c r="E11">
        <v>89.29</v>
      </c>
      <c r="F11" t="s">
        <v>8</v>
      </c>
    </row>
    <row r="12" spans="1:6" x14ac:dyDescent="0.25">
      <c r="A12" s="1">
        <v>44678</v>
      </c>
      <c r="B12" t="s">
        <v>12</v>
      </c>
      <c r="C12" t="s">
        <v>7</v>
      </c>
      <c r="D12">
        <v>11</v>
      </c>
      <c r="E12">
        <v>150.72999999999999</v>
      </c>
      <c r="F12" t="s">
        <v>11</v>
      </c>
    </row>
    <row r="13" spans="1:6" x14ac:dyDescent="0.25">
      <c r="A13" s="1">
        <v>44610</v>
      </c>
      <c r="B13" t="s">
        <v>6</v>
      </c>
      <c r="C13" t="s">
        <v>13</v>
      </c>
      <c r="D13">
        <v>5</v>
      </c>
      <c r="E13">
        <v>63.41</v>
      </c>
      <c r="F13" t="s">
        <v>16</v>
      </c>
    </row>
    <row r="14" spans="1:6" x14ac:dyDescent="0.25">
      <c r="A14" s="1">
        <v>44738</v>
      </c>
      <c r="B14" t="s">
        <v>6</v>
      </c>
      <c r="C14" t="s">
        <v>7</v>
      </c>
      <c r="D14">
        <v>18</v>
      </c>
      <c r="E14">
        <v>175.89</v>
      </c>
      <c r="F14" t="s">
        <v>16</v>
      </c>
    </row>
    <row r="15" spans="1:6" x14ac:dyDescent="0.25">
      <c r="A15" s="1">
        <v>44731</v>
      </c>
      <c r="B15" t="s">
        <v>18</v>
      </c>
      <c r="C15" t="s">
        <v>19</v>
      </c>
      <c r="D15">
        <v>18</v>
      </c>
      <c r="E15">
        <v>296.97000000000003</v>
      </c>
      <c r="F15" t="s">
        <v>8</v>
      </c>
    </row>
    <row r="16" spans="1:6" x14ac:dyDescent="0.25">
      <c r="A16" s="1">
        <v>44715</v>
      </c>
      <c r="B16" t="s">
        <v>12</v>
      </c>
      <c r="C16" t="s">
        <v>13</v>
      </c>
      <c r="D16">
        <v>12</v>
      </c>
      <c r="E16">
        <v>177.75</v>
      </c>
      <c r="F16" t="s">
        <v>16</v>
      </c>
    </row>
    <row r="17" spans="1:6" x14ac:dyDescent="0.25">
      <c r="A17" s="1">
        <v>44656</v>
      </c>
      <c r="B17" t="s">
        <v>12</v>
      </c>
      <c r="C17" t="s">
        <v>10</v>
      </c>
      <c r="D17">
        <v>14</v>
      </c>
      <c r="E17">
        <v>285.08999999999997</v>
      </c>
      <c r="F17" t="s">
        <v>11</v>
      </c>
    </row>
    <row r="18" spans="1:6" x14ac:dyDescent="0.25">
      <c r="A18" s="1">
        <v>44668</v>
      </c>
      <c r="B18" t="s">
        <v>6</v>
      </c>
      <c r="C18" t="s">
        <v>13</v>
      </c>
      <c r="D18">
        <v>12</v>
      </c>
      <c r="E18">
        <v>277.22000000000003</v>
      </c>
      <c r="F18" t="s">
        <v>8</v>
      </c>
    </row>
    <row r="19" spans="1:6" x14ac:dyDescent="0.25">
      <c r="A19" s="1">
        <v>44603</v>
      </c>
      <c r="B19" t="s">
        <v>18</v>
      </c>
      <c r="C19" t="s">
        <v>19</v>
      </c>
      <c r="D19">
        <v>17</v>
      </c>
      <c r="E19">
        <v>175.18</v>
      </c>
      <c r="F19" t="s">
        <v>11</v>
      </c>
    </row>
    <row r="20" spans="1:6" x14ac:dyDescent="0.25">
      <c r="A20" s="1">
        <v>44579</v>
      </c>
      <c r="B20" t="s">
        <v>9</v>
      </c>
      <c r="C20" t="s">
        <v>13</v>
      </c>
      <c r="D20">
        <v>12</v>
      </c>
      <c r="E20">
        <v>192.16</v>
      </c>
      <c r="F20" t="s">
        <v>8</v>
      </c>
    </row>
    <row r="21" spans="1:6" x14ac:dyDescent="0.25">
      <c r="A21" s="1">
        <v>44711</v>
      </c>
      <c r="B21" t="s">
        <v>21</v>
      </c>
      <c r="C21" t="s">
        <v>10</v>
      </c>
      <c r="D21">
        <v>9</v>
      </c>
      <c r="E21">
        <v>123.12</v>
      </c>
      <c r="F21" t="s">
        <v>22</v>
      </c>
    </row>
    <row r="22" spans="1:6" x14ac:dyDescent="0.25">
      <c r="A22" s="1">
        <v>44730</v>
      </c>
      <c r="B22" t="s">
        <v>6</v>
      </c>
      <c r="C22" t="s">
        <v>7</v>
      </c>
      <c r="D22">
        <v>15</v>
      </c>
      <c r="E22">
        <v>238.86</v>
      </c>
      <c r="F22" t="s">
        <v>8</v>
      </c>
    </row>
    <row r="23" spans="1:6" x14ac:dyDescent="0.25">
      <c r="A23" s="1">
        <v>44748</v>
      </c>
      <c r="B23" t="s">
        <v>17</v>
      </c>
      <c r="C23" t="s">
        <v>20</v>
      </c>
      <c r="D23">
        <v>20</v>
      </c>
      <c r="E23">
        <v>272.37</v>
      </c>
      <c r="F23" t="s">
        <v>14</v>
      </c>
    </row>
    <row r="24" spans="1:6" x14ac:dyDescent="0.25">
      <c r="A24" s="1">
        <v>44706</v>
      </c>
      <c r="B24" t="s">
        <v>21</v>
      </c>
      <c r="C24" t="s">
        <v>23</v>
      </c>
      <c r="D24">
        <v>8</v>
      </c>
      <c r="E24">
        <v>82.86</v>
      </c>
      <c r="F24" t="s">
        <v>16</v>
      </c>
    </row>
    <row r="25" spans="1:6" x14ac:dyDescent="0.25">
      <c r="A25" s="1">
        <v>44677</v>
      </c>
      <c r="B25" t="s">
        <v>17</v>
      </c>
      <c r="C25" t="s">
        <v>24</v>
      </c>
      <c r="D25">
        <v>19</v>
      </c>
      <c r="E25">
        <v>447.21</v>
      </c>
      <c r="F25" t="s">
        <v>22</v>
      </c>
    </row>
    <row r="26" spans="1:6" x14ac:dyDescent="0.25">
      <c r="A26" s="1">
        <v>44738</v>
      </c>
      <c r="B26" t="s">
        <v>17</v>
      </c>
      <c r="C26" t="s">
        <v>19</v>
      </c>
      <c r="D26">
        <v>1</v>
      </c>
      <c r="E26">
        <v>9.98</v>
      </c>
      <c r="F26" t="s">
        <v>11</v>
      </c>
    </row>
    <row r="27" spans="1:6" x14ac:dyDescent="0.25">
      <c r="A27" s="1">
        <v>44743</v>
      </c>
      <c r="B27" t="s">
        <v>6</v>
      </c>
      <c r="C27" t="s">
        <v>23</v>
      </c>
      <c r="D27">
        <v>5</v>
      </c>
      <c r="E27">
        <v>101.4</v>
      </c>
      <c r="F27" t="s">
        <v>22</v>
      </c>
    </row>
    <row r="28" spans="1:6" x14ac:dyDescent="0.25">
      <c r="A28" s="1">
        <v>44801</v>
      </c>
      <c r="B28" t="s">
        <v>15</v>
      </c>
      <c r="C28" t="s">
        <v>20</v>
      </c>
      <c r="D28">
        <v>13</v>
      </c>
      <c r="E28">
        <v>206.79</v>
      </c>
      <c r="F28" t="s">
        <v>22</v>
      </c>
    </row>
    <row r="29" spans="1:6" x14ac:dyDescent="0.25">
      <c r="A29" s="1">
        <v>44750</v>
      </c>
      <c r="B29" t="s">
        <v>21</v>
      </c>
      <c r="C29" t="s">
        <v>24</v>
      </c>
      <c r="D29">
        <v>11</v>
      </c>
      <c r="E29">
        <v>153.08000000000001</v>
      </c>
      <c r="F29" t="s">
        <v>14</v>
      </c>
    </row>
    <row r="30" spans="1:6" x14ac:dyDescent="0.25">
      <c r="A30" s="1">
        <v>44595</v>
      </c>
      <c r="B30" t="s">
        <v>15</v>
      </c>
      <c r="C30" t="s">
        <v>24</v>
      </c>
      <c r="D30">
        <v>18</v>
      </c>
      <c r="E30">
        <v>411.44</v>
      </c>
      <c r="F30" t="s">
        <v>16</v>
      </c>
    </row>
    <row r="31" spans="1:6" x14ac:dyDescent="0.25">
      <c r="A31" s="1">
        <v>44637</v>
      </c>
      <c r="B31" t="s">
        <v>21</v>
      </c>
      <c r="C31" t="s">
        <v>23</v>
      </c>
      <c r="D31">
        <v>5</v>
      </c>
      <c r="E31">
        <v>46.92</v>
      </c>
      <c r="F31" t="s">
        <v>11</v>
      </c>
    </row>
    <row r="32" spans="1:6" x14ac:dyDescent="0.25">
      <c r="A32" s="1">
        <v>44737</v>
      </c>
      <c r="B32" t="s">
        <v>12</v>
      </c>
      <c r="C32" t="s">
        <v>7</v>
      </c>
      <c r="D32">
        <v>3</v>
      </c>
      <c r="E32">
        <v>42.85</v>
      </c>
      <c r="F32" t="s">
        <v>14</v>
      </c>
    </row>
    <row r="33" spans="1:6" x14ac:dyDescent="0.25">
      <c r="A33" s="1">
        <v>44723</v>
      </c>
      <c r="B33" t="s">
        <v>17</v>
      </c>
      <c r="C33" t="s">
        <v>19</v>
      </c>
      <c r="D33">
        <v>2</v>
      </c>
      <c r="E33">
        <v>40.17</v>
      </c>
      <c r="F33" t="s">
        <v>14</v>
      </c>
    </row>
    <row r="34" spans="1:6" x14ac:dyDescent="0.25">
      <c r="A34" s="1">
        <v>44649</v>
      </c>
      <c r="B34" t="s">
        <v>9</v>
      </c>
      <c r="C34" t="s">
        <v>23</v>
      </c>
      <c r="D34">
        <v>13</v>
      </c>
      <c r="E34">
        <v>243.79</v>
      </c>
      <c r="F34" t="s">
        <v>11</v>
      </c>
    </row>
    <row r="35" spans="1:6" x14ac:dyDescent="0.25">
      <c r="A35" s="1">
        <v>44646</v>
      </c>
      <c r="B35" t="s">
        <v>9</v>
      </c>
      <c r="C35" t="s">
        <v>19</v>
      </c>
      <c r="D35">
        <v>2</v>
      </c>
      <c r="E35">
        <v>44.86</v>
      </c>
      <c r="F35" t="s">
        <v>14</v>
      </c>
    </row>
    <row r="36" spans="1:6" x14ac:dyDescent="0.25">
      <c r="A36" s="1">
        <v>44757</v>
      </c>
      <c r="B36" t="s">
        <v>15</v>
      </c>
      <c r="C36" t="s">
        <v>10</v>
      </c>
      <c r="D36">
        <v>19</v>
      </c>
      <c r="E36">
        <v>288.39999999999998</v>
      </c>
      <c r="F36" t="s">
        <v>14</v>
      </c>
    </row>
    <row r="37" spans="1:6" x14ac:dyDescent="0.25">
      <c r="A37" s="1">
        <v>44758</v>
      </c>
      <c r="B37" t="s">
        <v>12</v>
      </c>
      <c r="C37" t="s">
        <v>24</v>
      </c>
      <c r="D37">
        <v>9</v>
      </c>
      <c r="E37">
        <v>137.02000000000001</v>
      </c>
      <c r="F37" t="s">
        <v>22</v>
      </c>
    </row>
    <row r="38" spans="1:6" x14ac:dyDescent="0.25">
      <c r="A38" s="1">
        <v>44684</v>
      </c>
      <c r="B38" t="s">
        <v>9</v>
      </c>
      <c r="C38" t="s">
        <v>19</v>
      </c>
      <c r="D38">
        <v>11</v>
      </c>
      <c r="E38">
        <v>228.69</v>
      </c>
      <c r="F38" t="s">
        <v>22</v>
      </c>
    </row>
    <row r="39" spans="1:6" x14ac:dyDescent="0.25">
      <c r="A39" s="1">
        <v>44729</v>
      </c>
      <c r="B39" t="s">
        <v>15</v>
      </c>
      <c r="C39" t="s">
        <v>23</v>
      </c>
      <c r="D39">
        <v>14</v>
      </c>
      <c r="E39">
        <v>287.52999999999997</v>
      </c>
      <c r="F39" t="s">
        <v>16</v>
      </c>
    </row>
    <row r="40" spans="1:6" x14ac:dyDescent="0.25">
      <c r="A40" s="1">
        <v>44664</v>
      </c>
      <c r="B40" t="s">
        <v>15</v>
      </c>
      <c r="C40" t="s">
        <v>23</v>
      </c>
      <c r="D40">
        <v>14</v>
      </c>
      <c r="E40">
        <v>294.16000000000003</v>
      </c>
      <c r="F40" t="s">
        <v>8</v>
      </c>
    </row>
    <row r="41" spans="1:6" x14ac:dyDescent="0.25">
      <c r="A41" s="1">
        <v>44747</v>
      </c>
      <c r="B41" t="s">
        <v>9</v>
      </c>
      <c r="C41" t="s">
        <v>10</v>
      </c>
      <c r="D41">
        <v>19</v>
      </c>
      <c r="E41">
        <v>217.38</v>
      </c>
      <c r="F41" t="s">
        <v>22</v>
      </c>
    </row>
    <row r="42" spans="1:6" x14ac:dyDescent="0.25">
      <c r="A42" s="1">
        <v>44779</v>
      </c>
      <c r="B42" t="s">
        <v>12</v>
      </c>
      <c r="C42" t="s">
        <v>7</v>
      </c>
      <c r="D42">
        <v>13</v>
      </c>
      <c r="E42">
        <v>232.97</v>
      </c>
      <c r="F42" t="s">
        <v>11</v>
      </c>
    </row>
    <row r="43" spans="1:6" x14ac:dyDescent="0.25">
      <c r="A43" s="1">
        <v>44706</v>
      </c>
      <c r="B43" t="s">
        <v>9</v>
      </c>
      <c r="C43" t="s">
        <v>13</v>
      </c>
      <c r="D43">
        <v>3</v>
      </c>
      <c r="E43">
        <v>34.74</v>
      </c>
      <c r="F43" t="s">
        <v>14</v>
      </c>
    </row>
    <row r="44" spans="1:6" x14ac:dyDescent="0.25">
      <c r="A44" s="1">
        <v>44671</v>
      </c>
      <c r="B44" t="s">
        <v>21</v>
      </c>
      <c r="C44" t="s">
        <v>7</v>
      </c>
      <c r="D44">
        <v>7</v>
      </c>
      <c r="E44">
        <v>152.22999999999999</v>
      </c>
      <c r="F44" t="s">
        <v>16</v>
      </c>
    </row>
    <row r="45" spans="1:6" x14ac:dyDescent="0.25">
      <c r="A45" s="1">
        <v>44696</v>
      </c>
      <c r="B45" t="s">
        <v>18</v>
      </c>
      <c r="C45" t="s">
        <v>24</v>
      </c>
      <c r="D45">
        <v>11</v>
      </c>
      <c r="E45">
        <v>197.71</v>
      </c>
      <c r="F45" t="s">
        <v>14</v>
      </c>
    </row>
    <row r="46" spans="1:6" x14ac:dyDescent="0.25">
      <c r="A46" s="1">
        <v>44568</v>
      </c>
      <c r="B46" t="s">
        <v>21</v>
      </c>
      <c r="C46" t="s">
        <v>7</v>
      </c>
      <c r="D46">
        <v>10</v>
      </c>
      <c r="E46">
        <v>161.56</v>
      </c>
      <c r="F46" t="s">
        <v>16</v>
      </c>
    </row>
    <row r="47" spans="1:6" x14ac:dyDescent="0.25">
      <c r="A47" s="1">
        <v>44710</v>
      </c>
      <c r="B47" t="s">
        <v>9</v>
      </c>
      <c r="C47" t="s">
        <v>19</v>
      </c>
      <c r="D47">
        <v>16</v>
      </c>
      <c r="E47">
        <v>339.11</v>
      </c>
      <c r="F47" t="s">
        <v>14</v>
      </c>
    </row>
    <row r="48" spans="1:6" x14ac:dyDescent="0.25">
      <c r="A48" s="1">
        <v>44630</v>
      </c>
      <c r="B48" t="s">
        <v>9</v>
      </c>
      <c r="C48" t="s">
        <v>20</v>
      </c>
      <c r="D48">
        <v>1</v>
      </c>
      <c r="E48">
        <v>11.64</v>
      </c>
      <c r="F48" t="s">
        <v>14</v>
      </c>
    </row>
    <row r="49" spans="1:6" x14ac:dyDescent="0.25">
      <c r="A49" s="1">
        <v>44690</v>
      </c>
      <c r="B49" t="s">
        <v>9</v>
      </c>
      <c r="C49" t="s">
        <v>19</v>
      </c>
      <c r="D49">
        <v>3</v>
      </c>
      <c r="E49">
        <v>36.54</v>
      </c>
      <c r="F49" t="s">
        <v>8</v>
      </c>
    </row>
    <row r="50" spans="1:6" x14ac:dyDescent="0.25">
      <c r="A50" s="1">
        <v>44753</v>
      </c>
      <c r="B50" t="s">
        <v>12</v>
      </c>
      <c r="C50" t="s">
        <v>20</v>
      </c>
      <c r="D50">
        <v>16</v>
      </c>
      <c r="E50">
        <v>163.57</v>
      </c>
      <c r="F50" t="s">
        <v>16</v>
      </c>
    </row>
    <row r="51" spans="1:6" x14ac:dyDescent="0.25">
      <c r="A51" s="1">
        <v>44662</v>
      </c>
      <c r="B51" t="s">
        <v>12</v>
      </c>
      <c r="C51" t="s">
        <v>19</v>
      </c>
      <c r="D51">
        <v>11</v>
      </c>
      <c r="E51">
        <v>221.08</v>
      </c>
      <c r="F51" t="s">
        <v>22</v>
      </c>
    </row>
    <row r="52" spans="1:6" x14ac:dyDescent="0.25">
      <c r="A52" s="1">
        <v>44563</v>
      </c>
      <c r="B52" t="s">
        <v>15</v>
      </c>
      <c r="C52" t="s">
        <v>10</v>
      </c>
      <c r="D52">
        <v>14</v>
      </c>
      <c r="E52">
        <v>201.96</v>
      </c>
      <c r="F52" t="s">
        <v>16</v>
      </c>
    </row>
    <row r="53" spans="1:6" x14ac:dyDescent="0.25">
      <c r="A53" s="1">
        <v>44734</v>
      </c>
      <c r="B53" t="s">
        <v>12</v>
      </c>
      <c r="C53" t="s">
        <v>23</v>
      </c>
      <c r="D53">
        <v>7</v>
      </c>
      <c r="E53">
        <v>134.24</v>
      </c>
      <c r="F53" t="s">
        <v>14</v>
      </c>
    </row>
    <row r="54" spans="1:6" x14ac:dyDescent="0.25">
      <c r="A54" s="1">
        <v>44783</v>
      </c>
      <c r="B54" t="s">
        <v>21</v>
      </c>
      <c r="C54" t="s">
        <v>20</v>
      </c>
      <c r="D54">
        <v>8</v>
      </c>
      <c r="E54">
        <v>85.5</v>
      </c>
      <c r="F54" t="s">
        <v>11</v>
      </c>
    </row>
    <row r="55" spans="1:6" x14ac:dyDescent="0.25">
      <c r="A55" s="1">
        <v>44563</v>
      </c>
      <c r="B55" t="s">
        <v>6</v>
      </c>
      <c r="C55" t="s">
        <v>24</v>
      </c>
      <c r="D55">
        <v>3</v>
      </c>
      <c r="E55">
        <v>42.45</v>
      </c>
      <c r="F55" t="s">
        <v>22</v>
      </c>
    </row>
    <row r="56" spans="1:6" x14ac:dyDescent="0.25">
      <c r="A56" s="1">
        <v>44745</v>
      </c>
      <c r="B56" t="s">
        <v>18</v>
      </c>
      <c r="C56" t="s">
        <v>24</v>
      </c>
      <c r="D56">
        <v>4</v>
      </c>
      <c r="E56">
        <v>43.61</v>
      </c>
      <c r="F56" t="s">
        <v>14</v>
      </c>
    </row>
    <row r="57" spans="1:6" x14ac:dyDescent="0.25">
      <c r="A57" s="1">
        <v>44641</v>
      </c>
      <c r="B57" t="s">
        <v>15</v>
      </c>
      <c r="C57" t="s">
        <v>23</v>
      </c>
      <c r="D57">
        <v>7</v>
      </c>
      <c r="E57">
        <v>134.53</v>
      </c>
      <c r="F57" t="s">
        <v>14</v>
      </c>
    </row>
    <row r="58" spans="1:6" x14ac:dyDescent="0.25">
      <c r="A58" s="1">
        <v>44667</v>
      </c>
      <c r="B58" t="s">
        <v>6</v>
      </c>
      <c r="C58" t="s">
        <v>7</v>
      </c>
      <c r="D58">
        <v>7</v>
      </c>
      <c r="E58">
        <v>141.33000000000001</v>
      </c>
      <c r="F58" t="s">
        <v>16</v>
      </c>
    </row>
    <row r="59" spans="1:6" x14ac:dyDescent="0.25">
      <c r="A59" s="1">
        <v>44799</v>
      </c>
      <c r="B59" t="s">
        <v>12</v>
      </c>
      <c r="C59" t="s">
        <v>10</v>
      </c>
      <c r="D59">
        <v>18</v>
      </c>
      <c r="E59">
        <v>336.53</v>
      </c>
      <c r="F59" t="s">
        <v>14</v>
      </c>
    </row>
    <row r="60" spans="1:6" x14ac:dyDescent="0.25">
      <c r="A60" s="1">
        <v>44673</v>
      </c>
      <c r="B60" t="s">
        <v>18</v>
      </c>
      <c r="C60" t="s">
        <v>23</v>
      </c>
      <c r="D60">
        <v>20</v>
      </c>
      <c r="E60">
        <v>470.78</v>
      </c>
      <c r="F60" t="s">
        <v>8</v>
      </c>
    </row>
    <row r="61" spans="1:6" x14ac:dyDescent="0.25">
      <c r="A61" s="1">
        <v>44637</v>
      </c>
      <c r="B61" t="s">
        <v>18</v>
      </c>
      <c r="C61" t="s">
        <v>24</v>
      </c>
      <c r="D61">
        <v>14</v>
      </c>
      <c r="E61">
        <v>163.03</v>
      </c>
      <c r="F61" t="s">
        <v>14</v>
      </c>
    </row>
    <row r="62" spans="1:6" x14ac:dyDescent="0.25">
      <c r="A62" s="1">
        <v>44740</v>
      </c>
      <c r="B62" t="s">
        <v>12</v>
      </c>
      <c r="C62" t="s">
        <v>23</v>
      </c>
      <c r="D62">
        <v>7</v>
      </c>
      <c r="E62">
        <v>88.38</v>
      </c>
      <c r="F62" t="s">
        <v>22</v>
      </c>
    </row>
    <row r="63" spans="1:6" x14ac:dyDescent="0.25">
      <c r="A63" s="1">
        <v>44727</v>
      </c>
      <c r="B63" t="s">
        <v>17</v>
      </c>
      <c r="C63" t="s">
        <v>10</v>
      </c>
      <c r="D63">
        <v>11</v>
      </c>
      <c r="E63">
        <v>127.82</v>
      </c>
      <c r="F63" t="s">
        <v>16</v>
      </c>
    </row>
    <row r="64" spans="1:6" x14ac:dyDescent="0.25">
      <c r="A64" s="1">
        <v>44681</v>
      </c>
      <c r="B64" t="s">
        <v>17</v>
      </c>
      <c r="C64" t="s">
        <v>19</v>
      </c>
      <c r="D64">
        <v>2</v>
      </c>
      <c r="E64">
        <v>30.78</v>
      </c>
      <c r="F64" t="s">
        <v>11</v>
      </c>
    </row>
    <row r="65" spans="1:6" x14ac:dyDescent="0.25">
      <c r="A65" s="1">
        <v>44576</v>
      </c>
      <c r="B65" t="s">
        <v>18</v>
      </c>
      <c r="C65" t="s">
        <v>24</v>
      </c>
      <c r="D65">
        <v>11</v>
      </c>
      <c r="E65">
        <v>211.91</v>
      </c>
      <c r="F65" t="s">
        <v>16</v>
      </c>
    </row>
    <row r="66" spans="1:6" x14ac:dyDescent="0.25">
      <c r="A66" s="1">
        <v>44778</v>
      </c>
      <c r="B66" t="s">
        <v>12</v>
      </c>
      <c r="C66" t="s">
        <v>10</v>
      </c>
      <c r="D66">
        <v>2</v>
      </c>
      <c r="E66">
        <v>34.090000000000003</v>
      </c>
      <c r="F66" t="s">
        <v>16</v>
      </c>
    </row>
    <row r="67" spans="1:6" x14ac:dyDescent="0.25">
      <c r="A67" s="1">
        <v>44758</v>
      </c>
      <c r="B67" t="s">
        <v>18</v>
      </c>
      <c r="C67" t="s">
        <v>13</v>
      </c>
      <c r="D67">
        <v>9</v>
      </c>
      <c r="E67">
        <v>158.69</v>
      </c>
      <c r="F67" t="s">
        <v>22</v>
      </c>
    </row>
    <row r="68" spans="1:6" x14ac:dyDescent="0.25">
      <c r="A68" s="1">
        <v>44704</v>
      </c>
      <c r="B68" t="s">
        <v>18</v>
      </c>
      <c r="C68" t="s">
        <v>10</v>
      </c>
      <c r="D68">
        <v>15</v>
      </c>
      <c r="E68">
        <v>355.23</v>
      </c>
      <c r="F68" t="s">
        <v>11</v>
      </c>
    </row>
    <row r="69" spans="1:6" x14ac:dyDescent="0.25">
      <c r="A69" s="1">
        <v>44670</v>
      </c>
      <c r="B69" t="s">
        <v>9</v>
      </c>
      <c r="C69" t="s">
        <v>13</v>
      </c>
      <c r="D69">
        <v>9</v>
      </c>
      <c r="E69">
        <v>202.58</v>
      </c>
      <c r="F69" t="s">
        <v>11</v>
      </c>
    </row>
    <row r="70" spans="1:6" x14ac:dyDescent="0.25">
      <c r="A70" s="1">
        <v>44778</v>
      </c>
      <c r="B70" t="s">
        <v>21</v>
      </c>
      <c r="C70" t="s">
        <v>10</v>
      </c>
      <c r="D70">
        <v>10</v>
      </c>
      <c r="E70">
        <v>245.9</v>
      </c>
      <c r="F70" t="s">
        <v>16</v>
      </c>
    </row>
    <row r="71" spans="1:6" x14ac:dyDescent="0.25">
      <c r="A71" s="1">
        <v>44804</v>
      </c>
      <c r="B71" t="s">
        <v>18</v>
      </c>
      <c r="C71" t="s">
        <v>13</v>
      </c>
      <c r="D71">
        <v>12</v>
      </c>
      <c r="E71">
        <v>270.74</v>
      </c>
      <c r="F71" t="s">
        <v>8</v>
      </c>
    </row>
    <row r="72" spans="1:6" x14ac:dyDescent="0.25">
      <c r="A72" s="1">
        <v>44796</v>
      </c>
      <c r="B72" t="s">
        <v>17</v>
      </c>
      <c r="C72" t="s">
        <v>13</v>
      </c>
      <c r="D72">
        <v>5</v>
      </c>
      <c r="E72">
        <v>88.84</v>
      </c>
      <c r="F72" t="s">
        <v>22</v>
      </c>
    </row>
    <row r="73" spans="1:6" x14ac:dyDescent="0.25">
      <c r="A73" s="1">
        <v>44627</v>
      </c>
      <c r="B73" t="s">
        <v>12</v>
      </c>
      <c r="C73" t="s">
        <v>23</v>
      </c>
      <c r="D73">
        <v>20</v>
      </c>
      <c r="E73">
        <v>433.81</v>
      </c>
      <c r="F73" t="s">
        <v>16</v>
      </c>
    </row>
    <row r="74" spans="1:6" x14ac:dyDescent="0.25">
      <c r="A74" s="1">
        <v>44767</v>
      </c>
      <c r="B74" t="s">
        <v>9</v>
      </c>
      <c r="C74" t="s">
        <v>7</v>
      </c>
      <c r="D74">
        <v>2</v>
      </c>
      <c r="E74">
        <v>29.63</v>
      </c>
      <c r="F74" t="s">
        <v>8</v>
      </c>
    </row>
    <row r="75" spans="1:6" x14ac:dyDescent="0.25">
      <c r="A75" s="1">
        <v>44601</v>
      </c>
      <c r="B75" t="s">
        <v>17</v>
      </c>
      <c r="C75" t="s">
        <v>23</v>
      </c>
      <c r="D75">
        <v>15</v>
      </c>
      <c r="E75">
        <v>334.05</v>
      </c>
      <c r="F75" t="s">
        <v>11</v>
      </c>
    </row>
    <row r="76" spans="1:6" x14ac:dyDescent="0.25">
      <c r="A76" s="1">
        <v>44620</v>
      </c>
      <c r="B76" t="s">
        <v>18</v>
      </c>
      <c r="C76" t="s">
        <v>13</v>
      </c>
      <c r="D76">
        <v>4</v>
      </c>
      <c r="E76">
        <v>52.1</v>
      </c>
      <c r="F76" t="s">
        <v>22</v>
      </c>
    </row>
    <row r="77" spans="1:6" x14ac:dyDescent="0.25">
      <c r="A77" s="1">
        <v>44704</v>
      </c>
      <c r="B77" t="s">
        <v>9</v>
      </c>
      <c r="C77" t="s">
        <v>13</v>
      </c>
      <c r="D77">
        <v>6</v>
      </c>
      <c r="E77">
        <v>51.97</v>
      </c>
      <c r="F77" t="s">
        <v>14</v>
      </c>
    </row>
    <row r="78" spans="1:6" x14ac:dyDescent="0.25">
      <c r="A78" s="1">
        <v>44773</v>
      </c>
      <c r="B78" t="s">
        <v>9</v>
      </c>
      <c r="C78" t="s">
        <v>19</v>
      </c>
      <c r="D78">
        <v>14</v>
      </c>
      <c r="E78">
        <v>324.2</v>
      </c>
      <c r="F78" t="s">
        <v>16</v>
      </c>
    </row>
    <row r="79" spans="1:6" x14ac:dyDescent="0.25">
      <c r="A79" s="1">
        <v>44707</v>
      </c>
      <c r="B79" t="s">
        <v>18</v>
      </c>
      <c r="C79" t="s">
        <v>24</v>
      </c>
      <c r="D79">
        <v>9</v>
      </c>
      <c r="E79">
        <v>155.31</v>
      </c>
      <c r="F79" t="s">
        <v>14</v>
      </c>
    </row>
    <row r="80" spans="1:6" x14ac:dyDescent="0.25">
      <c r="A80" s="1">
        <v>44617</v>
      </c>
      <c r="B80" t="s">
        <v>18</v>
      </c>
      <c r="C80" t="s">
        <v>19</v>
      </c>
      <c r="D80">
        <v>13</v>
      </c>
      <c r="E80">
        <v>205.85</v>
      </c>
      <c r="F80" t="s">
        <v>14</v>
      </c>
    </row>
    <row r="81" spans="1:6" x14ac:dyDescent="0.25">
      <c r="A81" s="1">
        <v>44656</v>
      </c>
      <c r="B81" t="s">
        <v>6</v>
      </c>
      <c r="C81" t="s">
        <v>7</v>
      </c>
      <c r="D81">
        <v>4</v>
      </c>
      <c r="E81">
        <v>64.28</v>
      </c>
      <c r="F81" t="s">
        <v>14</v>
      </c>
    </row>
    <row r="82" spans="1:6" x14ac:dyDescent="0.25">
      <c r="A82" s="1">
        <v>44733</v>
      </c>
      <c r="B82" t="s">
        <v>21</v>
      </c>
      <c r="C82" t="s">
        <v>19</v>
      </c>
      <c r="D82">
        <v>1</v>
      </c>
      <c r="E82">
        <v>8.09</v>
      </c>
      <c r="F82" t="s">
        <v>22</v>
      </c>
    </row>
    <row r="83" spans="1:6" x14ac:dyDescent="0.25">
      <c r="A83" s="1">
        <v>44775</v>
      </c>
      <c r="B83" t="s">
        <v>15</v>
      </c>
      <c r="C83" t="s">
        <v>13</v>
      </c>
      <c r="D83">
        <v>10</v>
      </c>
      <c r="E83">
        <v>213.75</v>
      </c>
      <c r="F83" t="s">
        <v>11</v>
      </c>
    </row>
    <row r="84" spans="1:6" x14ac:dyDescent="0.25">
      <c r="A84" s="1">
        <v>44671</v>
      </c>
      <c r="B84" t="s">
        <v>6</v>
      </c>
      <c r="C84" t="s">
        <v>23</v>
      </c>
      <c r="D84">
        <v>18</v>
      </c>
      <c r="E84">
        <v>244.76</v>
      </c>
      <c r="F84" t="s">
        <v>22</v>
      </c>
    </row>
    <row r="85" spans="1:6" x14ac:dyDescent="0.25">
      <c r="A85" s="1">
        <v>44678</v>
      </c>
      <c r="B85" t="s">
        <v>9</v>
      </c>
      <c r="C85" t="s">
        <v>10</v>
      </c>
      <c r="D85">
        <v>19</v>
      </c>
      <c r="E85">
        <v>316.79000000000002</v>
      </c>
      <c r="F85" t="s">
        <v>22</v>
      </c>
    </row>
    <row r="86" spans="1:6" x14ac:dyDescent="0.25">
      <c r="A86" s="1">
        <v>44742</v>
      </c>
      <c r="B86" t="s">
        <v>21</v>
      </c>
      <c r="C86" t="s">
        <v>10</v>
      </c>
      <c r="D86">
        <v>20</v>
      </c>
      <c r="E86">
        <v>219.72</v>
      </c>
      <c r="F86" t="s">
        <v>16</v>
      </c>
    </row>
    <row r="87" spans="1:6" x14ac:dyDescent="0.25">
      <c r="A87" s="1">
        <v>44627</v>
      </c>
      <c r="B87" t="s">
        <v>15</v>
      </c>
      <c r="C87" t="s">
        <v>13</v>
      </c>
      <c r="D87">
        <v>18</v>
      </c>
      <c r="E87">
        <v>371.23</v>
      </c>
      <c r="F87" t="s">
        <v>22</v>
      </c>
    </row>
    <row r="88" spans="1:6" x14ac:dyDescent="0.25">
      <c r="A88" s="1">
        <v>44702</v>
      </c>
      <c r="B88" t="s">
        <v>15</v>
      </c>
      <c r="C88" t="s">
        <v>19</v>
      </c>
      <c r="D88">
        <v>12</v>
      </c>
      <c r="E88">
        <v>242.44</v>
      </c>
      <c r="F88" t="s">
        <v>16</v>
      </c>
    </row>
    <row r="89" spans="1:6" x14ac:dyDescent="0.25">
      <c r="A89" s="1">
        <v>44745</v>
      </c>
      <c r="B89" t="s">
        <v>12</v>
      </c>
      <c r="C89" t="s">
        <v>19</v>
      </c>
      <c r="D89">
        <v>18</v>
      </c>
      <c r="E89">
        <v>214.09</v>
      </c>
      <c r="F89" t="s">
        <v>14</v>
      </c>
    </row>
    <row r="90" spans="1:6" x14ac:dyDescent="0.25">
      <c r="A90" s="1">
        <v>44633</v>
      </c>
      <c r="B90" t="s">
        <v>9</v>
      </c>
      <c r="C90" t="s">
        <v>24</v>
      </c>
      <c r="D90">
        <v>20</v>
      </c>
      <c r="E90">
        <v>183.48</v>
      </c>
      <c r="F90" t="s">
        <v>22</v>
      </c>
    </row>
    <row r="91" spans="1:6" x14ac:dyDescent="0.25">
      <c r="A91" s="1">
        <v>44722</v>
      </c>
      <c r="B91" t="s">
        <v>6</v>
      </c>
      <c r="C91" t="s">
        <v>23</v>
      </c>
      <c r="D91">
        <v>11</v>
      </c>
      <c r="E91">
        <v>272.97000000000003</v>
      </c>
      <c r="F91" t="s">
        <v>8</v>
      </c>
    </row>
    <row r="92" spans="1:6" x14ac:dyDescent="0.25">
      <c r="A92" s="1">
        <v>44597</v>
      </c>
      <c r="B92" t="s">
        <v>12</v>
      </c>
      <c r="C92" t="s">
        <v>13</v>
      </c>
      <c r="D92">
        <v>13</v>
      </c>
      <c r="E92">
        <v>129.30000000000001</v>
      </c>
      <c r="F92" t="s">
        <v>14</v>
      </c>
    </row>
    <row r="93" spans="1:6" x14ac:dyDescent="0.25">
      <c r="A93" s="1">
        <v>44704</v>
      </c>
      <c r="B93" t="s">
        <v>15</v>
      </c>
      <c r="C93" t="s">
        <v>13</v>
      </c>
      <c r="D93">
        <v>5</v>
      </c>
      <c r="E93">
        <v>59.7</v>
      </c>
      <c r="F93" t="s">
        <v>14</v>
      </c>
    </row>
    <row r="94" spans="1:6" x14ac:dyDescent="0.25">
      <c r="A94" s="1">
        <v>44784</v>
      </c>
      <c r="B94" t="s">
        <v>12</v>
      </c>
      <c r="C94" t="s">
        <v>19</v>
      </c>
      <c r="D94">
        <v>20</v>
      </c>
      <c r="E94">
        <v>210.82</v>
      </c>
      <c r="F94" t="s">
        <v>14</v>
      </c>
    </row>
    <row r="95" spans="1:6" x14ac:dyDescent="0.25">
      <c r="A95" s="1">
        <v>44633</v>
      </c>
      <c r="B95" t="s">
        <v>6</v>
      </c>
      <c r="C95" t="s">
        <v>7</v>
      </c>
      <c r="D95">
        <v>6</v>
      </c>
      <c r="E95">
        <v>115.79</v>
      </c>
      <c r="F95" t="s">
        <v>11</v>
      </c>
    </row>
    <row r="96" spans="1:6" x14ac:dyDescent="0.25">
      <c r="A96" s="1">
        <v>44718</v>
      </c>
      <c r="B96" t="s">
        <v>9</v>
      </c>
      <c r="C96" t="s">
        <v>23</v>
      </c>
      <c r="D96">
        <v>18</v>
      </c>
      <c r="E96">
        <v>322.41000000000003</v>
      </c>
      <c r="F96" t="s">
        <v>14</v>
      </c>
    </row>
    <row r="97" spans="1:6" x14ac:dyDescent="0.25">
      <c r="A97" s="1">
        <v>44762</v>
      </c>
      <c r="B97" t="s">
        <v>9</v>
      </c>
      <c r="C97" t="s">
        <v>7</v>
      </c>
      <c r="D97">
        <v>4</v>
      </c>
      <c r="E97">
        <v>73.39</v>
      </c>
      <c r="F97" t="s">
        <v>14</v>
      </c>
    </row>
    <row r="98" spans="1:6" x14ac:dyDescent="0.25">
      <c r="A98" s="1">
        <v>44718</v>
      </c>
      <c r="B98" t="s">
        <v>18</v>
      </c>
      <c r="C98" t="s">
        <v>10</v>
      </c>
      <c r="D98">
        <v>4</v>
      </c>
      <c r="E98">
        <v>50.12</v>
      </c>
      <c r="F98" t="s">
        <v>16</v>
      </c>
    </row>
    <row r="99" spans="1:6" x14ac:dyDescent="0.25">
      <c r="A99" s="1">
        <v>44619</v>
      </c>
      <c r="B99" t="s">
        <v>21</v>
      </c>
      <c r="C99" t="s">
        <v>24</v>
      </c>
      <c r="D99">
        <v>3</v>
      </c>
      <c r="E99">
        <v>45.16</v>
      </c>
      <c r="F99" t="s">
        <v>14</v>
      </c>
    </row>
    <row r="100" spans="1:6" x14ac:dyDescent="0.25">
      <c r="A100" s="1">
        <v>44801</v>
      </c>
      <c r="B100" t="s">
        <v>15</v>
      </c>
      <c r="C100" t="s">
        <v>7</v>
      </c>
      <c r="D100">
        <v>16</v>
      </c>
      <c r="E100">
        <v>212.81</v>
      </c>
      <c r="F100" t="s">
        <v>11</v>
      </c>
    </row>
    <row r="101" spans="1:6" x14ac:dyDescent="0.25">
      <c r="A101" s="1">
        <v>44693</v>
      </c>
      <c r="B101" t="s">
        <v>21</v>
      </c>
      <c r="C101" t="s">
        <v>19</v>
      </c>
      <c r="D101">
        <v>19</v>
      </c>
      <c r="E101">
        <v>192.59</v>
      </c>
      <c r="F101" t="s">
        <v>16</v>
      </c>
    </row>
    <row r="102" spans="1:6" x14ac:dyDescent="0.25">
      <c r="A102" s="1">
        <v>44715</v>
      </c>
      <c r="B102" t="s">
        <v>21</v>
      </c>
      <c r="C102" t="s">
        <v>10</v>
      </c>
      <c r="D102">
        <v>2</v>
      </c>
      <c r="E102">
        <v>36.56</v>
      </c>
      <c r="F102" t="s">
        <v>16</v>
      </c>
    </row>
    <row r="103" spans="1:6" x14ac:dyDescent="0.25">
      <c r="A103" s="1">
        <v>44631</v>
      </c>
      <c r="B103" t="s">
        <v>12</v>
      </c>
      <c r="C103" t="s">
        <v>19</v>
      </c>
      <c r="D103">
        <v>15</v>
      </c>
      <c r="E103">
        <v>244.66</v>
      </c>
      <c r="F103" t="s">
        <v>11</v>
      </c>
    </row>
    <row r="104" spans="1:6" x14ac:dyDescent="0.25">
      <c r="A104" s="1">
        <v>44709</v>
      </c>
      <c r="B104" t="s">
        <v>15</v>
      </c>
      <c r="C104" t="s">
        <v>20</v>
      </c>
      <c r="D104">
        <v>17</v>
      </c>
      <c r="E104">
        <v>281.12</v>
      </c>
      <c r="F104" t="s">
        <v>14</v>
      </c>
    </row>
    <row r="105" spans="1:6" x14ac:dyDescent="0.25">
      <c r="A105" s="1">
        <v>44571</v>
      </c>
      <c r="B105" t="s">
        <v>18</v>
      </c>
      <c r="C105" t="s">
        <v>24</v>
      </c>
      <c r="D105">
        <v>19</v>
      </c>
      <c r="E105">
        <v>161.94999999999999</v>
      </c>
      <c r="F105" t="s">
        <v>14</v>
      </c>
    </row>
    <row r="106" spans="1:6" x14ac:dyDescent="0.25">
      <c r="A106" s="1">
        <v>44582</v>
      </c>
      <c r="B106" t="s">
        <v>6</v>
      </c>
      <c r="C106" t="s">
        <v>13</v>
      </c>
      <c r="D106">
        <v>9</v>
      </c>
      <c r="E106">
        <v>180.5</v>
      </c>
      <c r="F106" t="s">
        <v>11</v>
      </c>
    </row>
    <row r="107" spans="1:6" x14ac:dyDescent="0.25">
      <c r="A107" s="1">
        <v>44701</v>
      </c>
      <c r="B107" t="s">
        <v>17</v>
      </c>
      <c r="C107" t="s">
        <v>10</v>
      </c>
      <c r="D107">
        <v>18</v>
      </c>
      <c r="E107">
        <v>426.02</v>
      </c>
      <c r="F107" t="s">
        <v>14</v>
      </c>
    </row>
    <row r="108" spans="1:6" x14ac:dyDescent="0.25">
      <c r="A108" s="1">
        <v>44751</v>
      </c>
      <c r="B108" t="s">
        <v>21</v>
      </c>
      <c r="C108" t="s">
        <v>19</v>
      </c>
      <c r="D108">
        <v>10</v>
      </c>
      <c r="E108">
        <v>101.77</v>
      </c>
      <c r="F108" t="s">
        <v>16</v>
      </c>
    </row>
    <row r="109" spans="1:6" x14ac:dyDescent="0.25">
      <c r="A109" s="1">
        <v>44731</v>
      </c>
      <c r="B109" t="s">
        <v>17</v>
      </c>
      <c r="C109" t="s">
        <v>19</v>
      </c>
      <c r="D109">
        <v>12</v>
      </c>
      <c r="E109">
        <v>132.47999999999999</v>
      </c>
      <c r="F109" t="s">
        <v>11</v>
      </c>
    </row>
    <row r="110" spans="1:6" x14ac:dyDescent="0.25">
      <c r="A110" s="1">
        <v>44712</v>
      </c>
      <c r="B110" t="s">
        <v>17</v>
      </c>
      <c r="C110" t="s">
        <v>7</v>
      </c>
      <c r="D110">
        <v>9</v>
      </c>
      <c r="E110">
        <v>82.8</v>
      </c>
      <c r="F110" t="s">
        <v>8</v>
      </c>
    </row>
    <row r="111" spans="1:6" x14ac:dyDescent="0.25">
      <c r="A111" s="1">
        <v>44704</v>
      </c>
      <c r="B111" t="s">
        <v>17</v>
      </c>
      <c r="C111" t="s">
        <v>19</v>
      </c>
      <c r="D111">
        <v>1</v>
      </c>
      <c r="E111">
        <v>8.51</v>
      </c>
      <c r="F111" t="s">
        <v>11</v>
      </c>
    </row>
    <row r="112" spans="1:6" x14ac:dyDescent="0.25">
      <c r="A112" s="1">
        <v>44568</v>
      </c>
      <c r="B112" t="s">
        <v>15</v>
      </c>
      <c r="C112" t="s">
        <v>19</v>
      </c>
      <c r="D112">
        <v>11</v>
      </c>
      <c r="E112">
        <v>90.19</v>
      </c>
      <c r="F112" t="s">
        <v>16</v>
      </c>
    </row>
    <row r="113" spans="1:6" x14ac:dyDescent="0.25">
      <c r="A113" s="1">
        <v>44773</v>
      </c>
      <c r="B113" t="s">
        <v>18</v>
      </c>
      <c r="C113" t="s">
        <v>13</v>
      </c>
      <c r="D113">
        <v>6</v>
      </c>
      <c r="E113">
        <v>60.03</v>
      </c>
      <c r="F113" t="s">
        <v>14</v>
      </c>
    </row>
    <row r="114" spans="1:6" x14ac:dyDescent="0.25">
      <c r="A114" s="1">
        <v>44705</v>
      </c>
      <c r="B114" t="s">
        <v>18</v>
      </c>
      <c r="C114" t="s">
        <v>20</v>
      </c>
      <c r="D114">
        <v>8</v>
      </c>
      <c r="E114">
        <v>142.54</v>
      </c>
      <c r="F114" t="s">
        <v>22</v>
      </c>
    </row>
    <row r="115" spans="1:6" x14ac:dyDescent="0.25">
      <c r="A115" s="1">
        <v>44674</v>
      </c>
      <c r="B115" t="s">
        <v>21</v>
      </c>
      <c r="C115" t="s">
        <v>10</v>
      </c>
      <c r="D115">
        <v>4</v>
      </c>
      <c r="E115">
        <v>96.7</v>
      </c>
      <c r="F115" t="s">
        <v>22</v>
      </c>
    </row>
    <row r="116" spans="1:6" x14ac:dyDescent="0.25">
      <c r="A116" s="1">
        <v>44638</v>
      </c>
      <c r="B116" t="s">
        <v>21</v>
      </c>
      <c r="C116" t="s">
        <v>13</v>
      </c>
      <c r="D116">
        <v>15</v>
      </c>
      <c r="E116">
        <v>151.63999999999999</v>
      </c>
      <c r="F116" t="s">
        <v>8</v>
      </c>
    </row>
    <row r="117" spans="1:6" x14ac:dyDescent="0.25">
      <c r="A117" s="1">
        <v>44798</v>
      </c>
      <c r="B117" t="s">
        <v>9</v>
      </c>
      <c r="C117" t="s">
        <v>7</v>
      </c>
      <c r="D117">
        <v>15</v>
      </c>
      <c r="E117">
        <v>197.97</v>
      </c>
      <c r="F117" t="s">
        <v>11</v>
      </c>
    </row>
    <row r="118" spans="1:6" x14ac:dyDescent="0.25">
      <c r="A118" s="1">
        <v>44624</v>
      </c>
      <c r="B118" t="s">
        <v>21</v>
      </c>
      <c r="C118" t="s">
        <v>7</v>
      </c>
      <c r="D118">
        <v>9</v>
      </c>
      <c r="E118">
        <v>182.35</v>
      </c>
      <c r="F118" t="s">
        <v>22</v>
      </c>
    </row>
    <row r="119" spans="1:6" x14ac:dyDescent="0.25">
      <c r="A119" s="1">
        <v>44644</v>
      </c>
      <c r="B119" t="s">
        <v>15</v>
      </c>
      <c r="C119" t="s">
        <v>7</v>
      </c>
      <c r="D119">
        <v>19</v>
      </c>
      <c r="E119">
        <v>443.56</v>
      </c>
      <c r="F119" t="s">
        <v>11</v>
      </c>
    </row>
    <row r="120" spans="1:6" x14ac:dyDescent="0.25">
      <c r="A120" s="1">
        <v>44647</v>
      </c>
      <c r="B120" t="s">
        <v>9</v>
      </c>
      <c r="C120" t="s">
        <v>23</v>
      </c>
      <c r="D120">
        <v>9</v>
      </c>
      <c r="E120">
        <v>89.01</v>
      </c>
      <c r="F120" t="s">
        <v>11</v>
      </c>
    </row>
    <row r="121" spans="1:6" x14ac:dyDescent="0.25">
      <c r="A121" s="1">
        <v>44699</v>
      </c>
      <c r="B121" t="s">
        <v>18</v>
      </c>
      <c r="C121" t="s">
        <v>24</v>
      </c>
      <c r="D121">
        <v>1</v>
      </c>
      <c r="E121">
        <v>10.32</v>
      </c>
      <c r="F121" t="s">
        <v>16</v>
      </c>
    </row>
    <row r="122" spans="1:6" x14ac:dyDescent="0.25">
      <c r="A122" s="1">
        <v>44695</v>
      </c>
      <c r="B122" t="s">
        <v>21</v>
      </c>
      <c r="C122" t="s">
        <v>20</v>
      </c>
      <c r="D122">
        <v>20</v>
      </c>
      <c r="E122">
        <v>414.06</v>
      </c>
      <c r="F122" t="s">
        <v>16</v>
      </c>
    </row>
    <row r="123" spans="1:6" x14ac:dyDescent="0.25">
      <c r="A123" s="1">
        <v>44600</v>
      </c>
      <c r="B123" t="s">
        <v>12</v>
      </c>
      <c r="C123" t="s">
        <v>20</v>
      </c>
      <c r="D123">
        <v>10</v>
      </c>
      <c r="E123">
        <v>159.21</v>
      </c>
      <c r="F123" t="s">
        <v>8</v>
      </c>
    </row>
    <row r="124" spans="1:6" x14ac:dyDescent="0.25">
      <c r="A124" s="1">
        <v>44612</v>
      </c>
      <c r="B124" t="s">
        <v>17</v>
      </c>
      <c r="C124" t="s">
        <v>7</v>
      </c>
      <c r="D124">
        <v>18</v>
      </c>
      <c r="E124">
        <v>195.1</v>
      </c>
      <c r="F124" t="s">
        <v>11</v>
      </c>
    </row>
    <row r="125" spans="1:6" x14ac:dyDescent="0.25">
      <c r="A125" s="1">
        <v>44794</v>
      </c>
      <c r="B125" t="s">
        <v>18</v>
      </c>
      <c r="C125" t="s">
        <v>24</v>
      </c>
      <c r="D125">
        <v>19</v>
      </c>
      <c r="E125">
        <v>386.61</v>
      </c>
      <c r="F125" t="s">
        <v>16</v>
      </c>
    </row>
    <row r="126" spans="1:6" x14ac:dyDescent="0.25">
      <c r="A126" s="1">
        <v>44770</v>
      </c>
      <c r="B126" t="s">
        <v>15</v>
      </c>
      <c r="C126" t="s">
        <v>13</v>
      </c>
      <c r="D126">
        <v>1</v>
      </c>
      <c r="E126">
        <v>22.99</v>
      </c>
      <c r="F126" t="s">
        <v>16</v>
      </c>
    </row>
    <row r="127" spans="1:6" x14ac:dyDescent="0.25">
      <c r="A127" s="1">
        <v>44710</v>
      </c>
      <c r="B127" t="s">
        <v>12</v>
      </c>
      <c r="C127" t="s">
        <v>19</v>
      </c>
      <c r="D127">
        <v>17</v>
      </c>
      <c r="E127">
        <v>290.44</v>
      </c>
      <c r="F127" t="s">
        <v>14</v>
      </c>
    </row>
    <row r="128" spans="1:6" x14ac:dyDescent="0.25">
      <c r="A128" s="1">
        <v>44700</v>
      </c>
      <c r="B128" t="s">
        <v>6</v>
      </c>
      <c r="C128" t="s">
        <v>24</v>
      </c>
      <c r="D128">
        <v>5</v>
      </c>
      <c r="E128">
        <v>79.459999999999994</v>
      </c>
      <c r="F128" t="s">
        <v>22</v>
      </c>
    </row>
    <row r="129" spans="1:6" x14ac:dyDescent="0.25">
      <c r="A129" s="1">
        <v>44787</v>
      </c>
      <c r="B129" t="s">
        <v>17</v>
      </c>
      <c r="C129" t="s">
        <v>10</v>
      </c>
      <c r="D129">
        <v>2</v>
      </c>
      <c r="E129">
        <v>48.19</v>
      </c>
      <c r="F129" t="s">
        <v>14</v>
      </c>
    </row>
    <row r="130" spans="1:6" x14ac:dyDescent="0.25">
      <c r="A130" s="1">
        <v>44571</v>
      </c>
      <c r="B130" t="s">
        <v>12</v>
      </c>
      <c r="C130" t="s">
        <v>20</v>
      </c>
      <c r="D130">
        <v>19</v>
      </c>
      <c r="E130">
        <v>166.83</v>
      </c>
      <c r="F130" t="s">
        <v>22</v>
      </c>
    </row>
    <row r="131" spans="1:6" x14ac:dyDescent="0.25">
      <c r="A131" s="1">
        <v>44654</v>
      </c>
      <c r="B131" t="s">
        <v>15</v>
      </c>
      <c r="C131" t="s">
        <v>23</v>
      </c>
      <c r="D131">
        <v>3</v>
      </c>
      <c r="E131">
        <v>40.32</v>
      </c>
      <c r="F131" t="s">
        <v>16</v>
      </c>
    </row>
    <row r="132" spans="1:6" x14ac:dyDescent="0.25">
      <c r="A132" s="1">
        <v>44739</v>
      </c>
      <c r="B132" t="s">
        <v>21</v>
      </c>
      <c r="C132" t="s">
        <v>23</v>
      </c>
      <c r="D132">
        <v>15</v>
      </c>
      <c r="E132">
        <v>176.45</v>
      </c>
      <c r="F132" t="s">
        <v>16</v>
      </c>
    </row>
    <row r="133" spans="1:6" x14ac:dyDescent="0.25">
      <c r="A133" s="1">
        <v>44646</v>
      </c>
      <c r="B133" t="s">
        <v>9</v>
      </c>
      <c r="C133" t="s">
        <v>10</v>
      </c>
      <c r="D133">
        <v>1</v>
      </c>
      <c r="E133">
        <v>9.4</v>
      </c>
      <c r="F133" t="s">
        <v>14</v>
      </c>
    </row>
    <row r="134" spans="1:6" x14ac:dyDescent="0.25">
      <c r="A134" s="1">
        <v>44590</v>
      </c>
      <c r="B134" t="s">
        <v>21</v>
      </c>
      <c r="C134" t="s">
        <v>23</v>
      </c>
      <c r="D134">
        <v>11</v>
      </c>
      <c r="E134">
        <v>176.73</v>
      </c>
      <c r="F134" t="s">
        <v>8</v>
      </c>
    </row>
    <row r="135" spans="1:6" x14ac:dyDescent="0.25">
      <c r="A135" s="1">
        <v>44630</v>
      </c>
      <c r="B135" t="s">
        <v>6</v>
      </c>
      <c r="C135" t="s">
        <v>7</v>
      </c>
      <c r="D135">
        <v>16</v>
      </c>
      <c r="E135">
        <v>235.83</v>
      </c>
      <c r="F135" t="s">
        <v>11</v>
      </c>
    </row>
    <row r="136" spans="1:6" x14ac:dyDescent="0.25">
      <c r="A136" s="1">
        <v>44600</v>
      </c>
      <c r="B136" t="s">
        <v>15</v>
      </c>
      <c r="C136" t="s">
        <v>24</v>
      </c>
      <c r="D136">
        <v>11</v>
      </c>
      <c r="E136">
        <v>106.76</v>
      </c>
      <c r="F136" t="s">
        <v>11</v>
      </c>
    </row>
    <row r="137" spans="1:6" x14ac:dyDescent="0.25">
      <c r="A137" s="1">
        <v>44766</v>
      </c>
      <c r="B137" t="s">
        <v>12</v>
      </c>
      <c r="C137" t="s">
        <v>7</v>
      </c>
      <c r="D137">
        <v>12</v>
      </c>
      <c r="E137">
        <v>100.6</v>
      </c>
      <c r="F137" t="s">
        <v>16</v>
      </c>
    </row>
    <row r="138" spans="1:6" x14ac:dyDescent="0.25">
      <c r="A138" s="1">
        <v>44642</v>
      </c>
      <c r="B138" t="s">
        <v>18</v>
      </c>
      <c r="C138" t="s">
        <v>23</v>
      </c>
      <c r="D138">
        <v>11</v>
      </c>
      <c r="E138">
        <v>214</v>
      </c>
      <c r="F138" t="s">
        <v>11</v>
      </c>
    </row>
    <row r="139" spans="1:6" x14ac:dyDescent="0.25">
      <c r="A139" s="1">
        <v>44686</v>
      </c>
      <c r="B139" t="s">
        <v>17</v>
      </c>
      <c r="C139" t="s">
        <v>10</v>
      </c>
      <c r="D139">
        <v>13</v>
      </c>
      <c r="E139">
        <v>315.98</v>
      </c>
      <c r="F139" t="s">
        <v>22</v>
      </c>
    </row>
    <row r="140" spans="1:6" x14ac:dyDescent="0.25">
      <c r="A140" s="1">
        <v>44603</v>
      </c>
      <c r="B140" t="s">
        <v>17</v>
      </c>
      <c r="C140" t="s">
        <v>19</v>
      </c>
      <c r="D140">
        <v>1</v>
      </c>
      <c r="E140">
        <v>13.06</v>
      </c>
      <c r="F140" t="s">
        <v>22</v>
      </c>
    </row>
    <row r="141" spans="1:6" x14ac:dyDescent="0.25">
      <c r="A141" s="1">
        <v>44619</v>
      </c>
      <c r="B141" t="s">
        <v>12</v>
      </c>
      <c r="C141" t="s">
        <v>13</v>
      </c>
      <c r="D141">
        <v>3</v>
      </c>
      <c r="E141">
        <v>44.25</v>
      </c>
      <c r="F141" t="s">
        <v>22</v>
      </c>
    </row>
    <row r="142" spans="1:6" x14ac:dyDescent="0.25">
      <c r="A142" s="1">
        <v>44760</v>
      </c>
      <c r="B142" t="s">
        <v>6</v>
      </c>
      <c r="C142" t="s">
        <v>13</v>
      </c>
      <c r="D142">
        <v>5</v>
      </c>
      <c r="E142">
        <v>97.26</v>
      </c>
      <c r="F142" t="s">
        <v>11</v>
      </c>
    </row>
    <row r="143" spans="1:6" x14ac:dyDescent="0.25">
      <c r="A143" s="1">
        <v>44771</v>
      </c>
      <c r="B143" t="s">
        <v>9</v>
      </c>
      <c r="C143" t="s">
        <v>23</v>
      </c>
      <c r="D143">
        <v>20</v>
      </c>
      <c r="E143">
        <v>380.27</v>
      </c>
      <c r="F143" t="s">
        <v>11</v>
      </c>
    </row>
    <row r="144" spans="1:6" x14ac:dyDescent="0.25">
      <c r="A144" s="1">
        <v>44665</v>
      </c>
      <c r="B144" t="s">
        <v>6</v>
      </c>
      <c r="C144" t="s">
        <v>23</v>
      </c>
      <c r="D144">
        <v>9</v>
      </c>
      <c r="E144">
        <v>79.13</v>
      </c>
      <c r="F144" t="s">
        <v>14</v>
      </c>
    </row>
    <row r="145" spans="1:6" x14ac:dyDescent="0.25">
      <c r="A145" s="1">
        <v>44735</v>
      </c>
      <c r="B145" t="s">
        <v>17</v>
      </c>
      <c r="C145" t="s">
        <v>19</v>
      </c>
      <c r="D145">
        <v>3</v>
      </c>
      <c r="E145">
        <v>56.2</v>
      </c>
      <c r="F145" t="s">
        <v>8</v>
      </c>
    </row>
    <row r="146" spans="1:6" x14ac:dyDescent="0.25">
      <c r="A146" s="1">
        <v>44717</v>
      </c>
      <c r="B146" t="s">
        <v>18</v>
      </c>
      <c r="C146" t="s">
        <v>19</v>
      </c>
      <c r="D146">
        <v>7</v>
      </c>
      <c r="E146">
        <v>156.91999999999999</v>
      </c>
      <c r="F146" t="s">
        <v>11</v>
      </c>
    </row>
    <row r="147" spans="1:6" x14ac:dyDescent="0.25">
      <c r="A147" s="1">
        <v>44699</v>
      </c>
      <c r="B147" t="s">
        <v>9</v>
      </c>
      <c r="C147" t="s">
        <v>13</v>
      </c>
      <c r="D147">
        <v>13</v>
      </c>
      <c r="E147">
        <v>187.47</v>
      </c>
      <c r="F147" t="s">
        <v>22</v>
      </c>
    </row>
    <row r="148" spans="1:6" x14ac:dyDescent="0.25">
      <c r="A148" s="1">
        <v>44695</v>
      </c>
      <c r="B148" t="s">
        <v>17</v>
      </c>
      <c r="C148" t="s">
        <v>7</v>
      </c>
      <c r="D148">
        <v>14</v>
      </c>
      <c r="E148">
        <v>234.19</v>
      </c>
      <c r="F148" t="s">
        <v>16</v>
      </c>
    </row>
    <row r="149" spans="1:6" x14ac:dyDescent="0.25">
      <c r="A149" s="1">
        <v>44677</v>
      </c>
      <c r="B149" t="s">
        <v>9</v>
      </c>
      <c r="C149" t="s">
        <v>10</v>
      </c>
      <c r="D149">
        <v>12</v>
      </c>
      <c r="E149">
        <v>248.77</v>
      </c>
      <c r="F149" t="s">
        <v>16</v>
      </c>
    </row>
    <row r="150" spans="1:6" x14ac:dyDescent="0.25">
      <c r="A150" s="1">
        <v>44580</v>
      </c>
      <c r="B150" t="s">
        <v>15</v>
      </c>
      <c r="C150" t="s">
        <v>24</v>
      </c>
      <c r="D150">
        <v>11</v>
      </c>
      <c r="E150">
        <v>224.04</v>
      </c>
      <c r="F150" t="s">
        <v>11</v>
      </c>
    </row>
    <row r="151" spans="1:6" x14ac:dyDescent="0.25">
      <c r="A151" s="1">
        <v>44687</v>
      </c>
      <c r="B151" t="s">
        <v>15</v>
      </c>
      <c r="C151" t="s">
        <v>24</v>
      </c>
      <c r="D151">
        <v>8</v>
      </c>
      <c r="E151">
        <v>88.55</v>
      </c>
      <c r="F151" t="s">
        <v>11</v>
      </c>
    </row>
    <row r="152" spans="1:6" x14ac:dyDescent="0.25">
      <c r="A152" s="1">
        <v>44622</v>
      </c>
      <c r="B152" t="s">
        <v>12</v>
      </c>
      <c r="C152" t="s">
        <v>23</v>
      </c>
      <c r="D152">
        <v>20</v>
      </c>
      <c r="E152">
        <v>302.63</v>
      </c>
      <c r="F152" t="s">
        <v>14</v>
      </c>
    </row>
    <row r="153" spans="1:6" x14ac:dyDescent="0.25">
      <c r="A153" s="1">
        <v>44615</v>
      </c>
      <c r="B153" t="s">
        <v>6</v>
      </c>
      <c r="C153" t="s">
        <v>7</v>
      </c>
      <c r="D153">
        <v>6</v>
      </c>
      <c r="E153">
        <v>127.61</v>
      </c>
      <c r="F153" t="s">
        <v>16</v>
      </c>
    </row>
    <row r="154" spans="1:6" x14ac:dyDescent="0.25">
      <c r="A154" s="1">
        <v>44759</v>
      </c>
      <c r="B154" t="s">
        <v>15</v>
      </c>
      <c r="C154" t="s">
        <v>24</v>
      </c>
      <c r="D154">
        <v>7</v>
      </c>
      <c r="E154">
        <v>85.93</v>
      </c>
      <c r="F154" t="s">
        <v>11</v>
      </c>
    </row>
    <row r="155" spans="1:6" x14ac:dyDescent="0.25">
      <c r="A155" s="1">
        <v>44652</v>
      </c>
      <c r="B155" t="s">
        <v>12</v>
      </c>
      <c r="C155" t="s">
        <v>20</v>
      </c>
      <c r="D155">
        <v>9</v>
      </c>
      <c r="E155">
        <v>112.85</v>
      </c>
      <c r="F155" t="s">
        <v>16</v>
      </c>
    </row>
    <row r="156" spans="1:6" x14ac:dyDescent="0.25">
      <c r="A156" s="1">
        <v>44775</v>
      </c>
      <c r="B156" t="s">
        <v>21</v>
      </c>
      <c r="C156" t="s">
        <v>10</v>
      </c>
      <c r="D156">
        <v>2</v>
      </c>
      <c r="E156">
        <v>18.27</v>
      </c>
      <c r="F156" t="s">
        <v>16</v>
      </c>
    </row>
    <row r="157" spans="1:6" x14ac:dyDescent="0.25">
      <c r="A157" s="1">
        <v>44774</v>
      </c>
      <c r="B157" t="s">
        <v>17</v>
      </c>
      <c r="C157" t="s">
        <v>24</v>
      </c>
      <c r="D157">
        <v>6</v>
      </c>
      <c r="E157">
        <v>55.27</v>
      </c>
      <c r="F157" t="s">
        <v>8</v>
      </c>
    </row>
    <row r="158" spans="1:6" x14ac:dyDescent="0.25">
      <c r="A158" s="1">
        <v>44738</v>
      </c>
      <c r="B158" t="s">
        <v>15</v>
      </c>
      <c r="C158" t="s">
        <v>23</v>
      </c>
      <c r="D158">
        <v>11</v>
      </c>
      <c r="E158">
        <v>186.86</v>
      </c>
      <c r="F158" t="s">
        <v>22</v>
      </c>
    </row>
    <row r="159" spans="1:6" x14ac:dyDescent="0.25">
      <c r="A159" s="1">
        <v>44704</v>
      </c>
      <c r="B159" t="s">
        <v>15</v>
      </c>
      <c r="C159" t="s">
        <v>20</v>
      </c>
      <c r="D159">
        <v>17</v>
      </c>
      <c r="E159">
        <v>350.78</v>
      </c>
      <c r="F159" t="s">
        <v>14</v>
      </c>
    </row>
    <row r="160" spans="1:6" x14ac:dyDescent="0.25">
      <c r="A160" s="1">
        <v>44723</v>
      </c>
      <c r="B160" t="s">
        <v>21</v>
      </c>
      <c r="C160" t="s">
        <v>20</v>
      </c>
      <c r="D160">
        <v>2</v>
      </c>
      <c r="E160">
        <v>46.75</v>
      </c>
      <c r="F160" t="s">
        <v>8</v>
      </c>
    </row>
    <row r="161" spans="1:6" x14ac:dyDescent="0.25">
      <c r="A161" s="1">
        <v>44705</v>
      </c>
      <c r="B161" t="s">
        <v>15</v>
      </c>
      <c r="C161" t="s">
        <v>13</v>
      </c>
      <c r="D161">
        <v>19</v>
      </c>
      <c r="E161">
        <v>326.36</v>
      </c>
      <c r="F161" t="s">
        <v>22</v>
      </c>
    </row>
    <row r="162" spans="1:6" x14ac:dyDescent="0.25">
      <c r="A162" s="1">
        <v>44704</v>
      </c>
      <c r="B162" t="s">
        <v>17</v>
      </c>
      <c r="C162" t="s">
        <v>23</v>
      </c>
      <c r="D162">
        <v>1</v>
      </c>
      <c r="E162">
        <v>12.41</v>
      </c>
      <c r="F162" t="s">
        <v>8</v>
      </c>
    </row>
    <row r="163" spans="1:6" x14ac:dyDescent="0.25">
      <c r="A163" s="1">
        <v>44690</v>
      </c>
      <c r="B163" t="s">
        <v>17</v>
      </c>
      <c r="C163" t="s">
        <v>10</v>
      </c>
      <c r="D163">
        <v>15</v>
      </c>
      <c r="E163">
        <v>223.3</v>
      </c>
      <c r="F163" t="s">
        <v>14</v>
      </c>
    </row>
    <row r="164" spans="1:6" x14ac:dyDescent="0.25">
      <c r="A164" s="1">
        <v>44593</v>
      </c>
      <c r="B164" t="s">
        <v>18</v>
      </c>
      <c r="C164" t="s">
        <v>23</v>
      </c>
      <c r="D164">
        <v>19</v>
      </c>
      <c r="E164">
        <v>202.9</v>
      </c>
      <c r="F164" t="s">
        <v>22</v>
      </c>
    </row>
    <row r="165" spans="1:6" x14ac:dyDescent="0.25">
      <c r="A165" s="1">
        <v>44774</v>
      </c>
      <c r="B165" t="s">
        <v>6</v>
      </c>
      <c r="C165" t="s">
        <v>7</v>
      </c>
      <c r="D165">
        <v>3</v>
      </c>
      <c r="E165">
        <v>56.22</v>
      </c>
      <c r="F165" t="s">
        <v>16</v>
      </c>
    </row>
    <row r="166" spans="1:6" x14ac:dyDescent="0.25">
      <c r="A166" s="1">
        <v>44796</v>
      </c>
      <c r="B166" t="s">
        <v>15</v>
      </c>
      <c r="C166" t="s">
        <v>24</v>
      </c>
      <c r="D166">
        <v>10</v>
      </c>
      <c r="E166">
        <v>246.29</v>
      </c>
      <c r="F166" t="s">
        <v>8</v>
      </c>
    </row>
    <row r="167" spans="1:6" x14ac:dyDescent="0.25">
      <c r="A167" s="1">
        <v>44662</v>
      </c>
      <c r="B167" t="s">
        <v>12</v>
      </c>
      <c r="C167" t="s">
        <v>13</v>
      </c>
      <c r="D167">
        <v>18</v>
      </c>
      <c r="E167">
        <v>329.35</v>
      </c>
      <c r="F167" t="s">
        <v>22</v>
      </c>
    </row>
    <row r="168" spans="1:6" x14ac:dyDescent="0.25">
      <c r="A168" s="1">
        <v>44670</v>
      </c>
      <c r="B168" t="s">
        <v>18</v>
      </c>
      <c r="C168" t="s">
        <v>20</v>
      </c>
      <c r="D168">
        <v>14</v>
      </c>
      <c r="E168">
        <v>349.22</v>
      </c>
      <c r="F168" t="s">
        <v>16</v>
      </c>
    </row>
    <row r="169" spans="1:6" x14ac:dyDescent="0.25">
      <c r="A169" s="1">
        <v>44603</v>
      </c>
      <c r="B169" t="s">
        <v>6</v>
      </c>
      <c r="C169" t="s">
        <v>23</v>
      </c>
      <c r="D169">
        <v>15</v>
      </c>
      <c r="E169">
        <v>268.43</v>
      </c>
      <c r="F169" t="s">
        <v>11</v>
      </c>
    </row>
    <row r="170" spans="1:6" x14ac:dyDescent="0.25">
      <c r="A170" s="1">
        <v>44613</v>
      </c>
      <c r="B170" t="s">
        <v>9</v>
      </c>
      <c r="C170" t="s">
        <v>20</v>
      </c>
      <c r="D170">
        <v>14</v>
      </c>
      <c r="E170">
        <v>319.69</v>
      </c>
      <c r="F170" t="s">
        <v>16</v>
      </c>
    </row>
    <row r="171" spans="1:6" x14ac:dyDescent="0.25">
      <c r="A171" s="1">
        <v>44735</v>
      </c>
      <c r="B171" t="s">
        <v>18</v>
      </c>
      <c r="C171" t="s">
        <v>24</v>
      </c>
      <c r="D171">
        <v>11</v>
      </c>
      <c r="E171">
        <v>166.88</v>
      </c>
      <c r="F171" t="s">
        <v>8</v>
      </c>
    </row>
    <row r="172" spans="1:6" x14ac:dyDescent="0.25">
      <c r="A172" s="1">
        <v>44686</v>
      </c>
      <c r="B172" t="s">
        <v>6</v>
      </c>
      <c r="C172" t="s">
        <v>19</v>
      </c>
      <c r="D172">
        <v>2</v>
      </c>
      <c r="E172">
        <v>29.69</v>
      </c>
      <c r="F172" t="s">
        <v>22</v>
      </c>
    </row>
    <row r="173" spans="1:6" x14ac:dyDescent="0.25">
      <c r="A173" s="1">
        <v>44675</v>
      </c>
      <c r="B173" t="s">
        <v>21</v>
      </c>
      <c r="C173" t="s">
        <v>10</v>
      </c>
      <c r="D173">
        <v>13</v>
      </c>
      <c r="E173">
        <v>193.09</v>
      </c>
      <c r="F173" t="s">
        <v>11</v>
      </c>
    </row>
    <row r="174" spans="1:6" x14ac:dyDescent="0.25">
      <c r="A174" s="1">
        <v>44738</v>
      </c>
      <c r="B174" t="s">
        <v>21</v>
      </c>
      <c r="C174" t="s">
        <v>10</v>
      </c>
      <c r="D174">
        <v>16</v>
      </c>
      <c r="E174">
        <v>276.52999999999997</v>
      </c>
      <c r="F174" t="s">
        <v>22</v>
      </c>
    </row>
    <row r="175" spans="1:6" x14ac:dyDescent="0.25">
      <c r="A175" s="1">
        <v>44794</v>
      </c>
      <c r="B175" t="s">
        <v>6</v>
      </c>
      <c r="C175" t="s">
        <v>10</v>
      </c>
      <c r="D175">
        <v>2</v>
      </c>
      <c r="E175">
        <v>49.91</v>
      </c>
      <c r="F175" t="s">
        <v>8</v>
      </c>
    </row>
    <row r="176" spans="1:6" x14ac:dyDescent="0.25">
      <c r="A176" s="1">
        <v>44737</v>
      </c>
      <c r="B176" t="s">
        <v>15</v>
      </c>
      <c r="C176" t="s">
        <v>24</v>
      </c>
      <c r="D176">
        <v>16</v>
      </c>
      <c r="E176">
        <v>131.88</v>
      </c>
      <c r="F176" t="s">
        <v>8</v>
      </c>
    </row>
    <row r="177" spans="1:6" x14ac:dyDescent="0.25">
      <c r="A177" s="1">
        <v>44600</v>
      </c>
      <c r="B177" t="s">
        <v>17</v>
      </c>
      <c r="C177" t="s">
        <v>23</v>
      </c>
      <c r="D177">
        <v>16</v>
      </c>
      <c r="E177">
        <v>306.63</v>
      </c>
      <c r="F177" t="s">
        <v>11</v>
      </c>
    </row>
    <row r="178" spans="1:6" x14ac:dyDescent="0.25">
      <c r="A178" s="1">
        <v>44753</v>
      </c>
      <c r="B178" t="s">
        <v>21</v>
      </c>
      <c r="C178" t="s">
        <v>13</v>
      </c>
      <c r="D178">
        <v>8</v>
      </c>
      <c r="E178">
        <v>162.66999999999999</v>
      </c>
      <c r="F178" t="s">
        <v>11</v>
      </c>
    </row>
    <row r="179" spans="1:6" x14ac:dyDescent="0.25">
      <c r="A179" s="1">
        <v>44766</v>
      </c>
      <c r="B179" t="s">
        <v>21</v>
      </c>
      <c r="C179" t="s">
        <v>19</v>
      </c>
      <c r="D179">
        <v>20</v>
      </c>
      <c r="E179">
        <v>216.6</v>
      </c>
      <c r="F179" t="s">
        <v>22</v>
      </c>
    </row>
    <row r="180" spans="1:6" x14ac:dyDescent="0.25">
      <c r="A180" s="1">
        <v>44709</v>
      </c>
      <c r="B180" t="s">
        <v>9</v>
      </c>
      <c r="C180" t="s">
        <v>10</v>
      </c>
      <c r="D180">
        <v>20</v>
      </c>
      <c r="E180">
        <v>427.81</v>
      </c>
      <c r="F180" t="s">
        <v>16</v>
      </c>
    </row>
    <row r="181" spans="1:6" x14ac:dyDescent="0.25">
      <c r="A181" s="1">
        <v>44706</v>
      </c>
      <c r="B181" t="s">
        <v>18</v>
      </c>
      <c r="C181" t="s">
        <v>19</v>
      </c>
      <c r="D181">
        <v>5</v>
      </c>
      <c r="E181">
        <v>79.489999999999995</v>
      </c>
      <c r="F181" t="s">
        <v>8</v>
      </c>
    </row>
    <row r="182" spans="1:6" x14ac:dyDescent="0.25">
      <c r="A182" s="1">
        <v>44728</v>
      </c>
      <c r="B182" t="s">
        <v>18</v>
      </c>
      <c r="C182" t="s">
        <v>7</v>
      </c>
      <c r="D182">
        <v>16</v>
      </c>
      <c r="E182">
        <v>300.37</v>
      </c>
      <c r="F182" t="s">
        <v>14</v>
      </c>
    </row>
    <row r="183" spans="1:6" x14ac:dyDescent="0.25">
      <c r="A183" s="1">
        <v>44610</v>
      </c>
      <c r="B183" t="s">
        <v>17</v>
      </c>
      <c r="C183" t="s">
        <v>7</v>
      </c>
      <c r="D183">
        <v>3</v>
      </c>
      <c r="E183">
        <v>73.09</v>
      </c>
      <c r="F183" t="s">
        <v>11</v>
      </c>
    </row>
    <row r="184" spans="1:6" x14ac:dyDescent="0.25">
      <c r="A184" s="1">
        <v>44675</v>
      </c>
      <c r="B184" t="s">
        <v>6</v>
      </c>
      <c r="C184" t="s">
        <v>19</v>
      </c>
      <c r="D184">
        <v>11</v>
      </c>
      <c r="E184">
        <v>125.38</v>
      </c>
      <c r="F184" t="s">
        <v>16</v>
      </c>
    </row>
    <row r="185" spans="1:6" x14ac:dyDescent="0.25">
      <c r="A185" s="1">
        <v>44699</v>
      </c>
      <c r="B185" t="s">
        <v>9</v>
      </c>
      <c r="C185" t="s">
        <v>10</v>
      </c>
      <c r="D185">
        <v>15</v>
      </c>
      <c r="E185">
        <v>155.47999999999999</v>
      </c>
      <c r="F185" t="s">
        <v>16</v>
      </c>
    </row>
    <row r="186" spans="1:6" x14ac:dyDescent="0.25">
      <c r="A186" s="1">
        <v>44756</v>
      </c>
      <c r="B186" t="s">
        <v>12</v>
      </c>
      <c r="C186" t="s">
        <v>13</v>
      </c>
      <c r="D186">
        <v>16</v>
      </c>
      <c r="E186">
        <v>340.68</v>
      </c>
      <c r="F186" t="s">
        <v>14</v>
      </c>
    </row>
    <row r="187" spans="1:6" x14ac:dyDescent="0.25">
      <c r="A187" s="1">
        <v>44765</v>
      </c>
      <c r="B187" t="s">
        <v>6</v>
      </c>
      <c r="C187" t="s">
        <v>7</v>
      </c>
      <c r="D187">
        <v>5</v>
      </c>
      <c r="E187">
        <v>49.44</v>
      </c>
      <c r="F187" t="s">
        <v>8</v>
      </c>
    </row>
    <row r="188" spans="1:6" x14ac:dyDescent="0.25">
      <c r="A188" s="1">
        <v>44744</v>
      </c>
      <c r="B188" t="s">
        <v>9</v>
      </c>
      <c r="C188" t="s">
        <v>23</v>
      </c>
      <c r="D188">
        <v>14</v>
      </c>
      <c r="E188">
        <v>344.7</v>
      </c>
      <c r="F188" t="s">
        <v>16</v>
      </c>
    </row>
    <row r="189" spans="1:6" x14ac:dyDescent="0.25">
      <c r="A189" s="1">
        <v>44748</v>
      </c>
      <c r="B189" t="s">
        <v>17</v>
      </c>
      <c r="C189" t="s">
        <v>7</v>
      </c>
      <c r="D189">
        <v>5</v>
      </c>
      <c r="E189">
        <v>95.03</v>
      </c>
      <c r="F189" t="s">
        <v>8</v>
      </c>
    </row>
    <row r="190" spans="1:6" x14ac:dyDescent="0.25">
      <c r="A190" s="1">
        <v>44673</v>
      </c>
      <c r="B190" t="s">
        <v>17</v>
      </c>
      <c r="C190" t="s">
        <v>20</v>
      </c>
      <c r="D190">
        <v>3</v>
      </c>
      <c r="E190">
        <v>52.4</v>
      </c>
      <c r="F190" t="s">
        <v>16</v>
      </c>
    </row>
    <row r="191" spans="1:6" x14ac:dyDescent="0.25">
      <c r="A191" s="1">
        <v>44677</v>
      </c>
      <c r="B191" t="s">
        <v>18</v>
      </c>
      <c r="C191" t="s">
        <v>10</v>
      </c>
      <c r="D191">
        <v>5</v>
      </c>
      <c r="E191">
        <v>106.94</v>
      </c>
      <c r="F191" t="s">
        <v>16</v>
      </c>
    </row>
    <row r="192" spans="1:6" x14ac:dyDescent="0.25">
      <c r="A192" s="1">
        <v>44645</v>
      </c>
      <c r="B192" t="s">
        <v>9</v>
      </c>
      <c r="C192" t="s">
        <v>19</v>
      </c>
      <c r="D192">
        <v>5</v>
      </c>
      <c r="E192">
        <v>94.04</v>
      </c>
      <c r="F192" t="s">
        <v>16</v>
      </c>
    </row>
    <row r="193" spans="1:6" x14ac:dyDescent="0.25">
      <c r="A193" s="1">
        <v>44567</v>
      </c>
      <c r="B193" t="s">
        <v>17</v>
      </c>
      <c r="C193" t="s">
        <v>20</v>
      </c>
      <c r="D193">
        <v>3</v>
      </c>
      <c r="E193">
        <v>54.15</v>
      </c>
      <c r="F193" t="s">
        <v>11</v>
      </c>
    </row>
    <row r="194" spans="1:6" x14ac:dyDescent="0.25">
      <c r="A194" s="1">
        <v>44681</v>
      </c>
      <c r="B194" t="s">
        <v>21</v>
      </c>
      <c r="C194" t="s">
        <v>13</v>
      </c>
      <c r="D194">
        <v>14</v>
      </c>
      <c r="E194">
        <v>115.82</v>
      </c>
      <c r="F194" t="s">
        <v>14</v>
      </c>
    </row>
    <row r="195" spans="1:6" x14ac:dyDescent="0.25">
      <c r="A195" s="1">
        <v>44731</v>
      </c>
      <c r="B195" t="s">
        <v>21</v>
      </c>
      <c r="C195" t="s">
        <v>23</v>
      </c>
      <c r="D195">
        <v>9</v>
      </c>
      <c r="E195">
        <v>204</v>
      </c>
      <c r="F195" t="s">
        <v>14</v>
      </c>
    </row>
    <row r="196" spans="1:6" x14ac:dyDescent="0.25">
      <c r="A196" s="1">
        <v>44749</v>
      </c>
      <c r="B196" t="s">
        <v>21</v>
      </c>
      <c r="C196" t="s">
        <v>23</v>
      </c>
      <c r="D196">
        <v>1</v>
      </c>
      <c r="E196">
        <v>19.920000000000002</v>
      </c>
      <c r="F196" t="s">
        <v>14</v>
      </c>
    </row>
    <row r="197" spans="1:6" x14ac:dyDescent="0.25">
      <c r="A197" s="1">
        <v>44708</v>
      </c>
      <c r="B197" t="s">
        <v>15</v>
      </c>
      <c r="C197" t="s">
        <v>13</v>
      </c>
      <c r="D197">
        <v>12</v>
      </c>
      <c r="E197">
        <v>151.09</v>
      </c>
      <c r="F197" t="s">
        <v>11</v>
      </c>
    </row>
    <row r="198" spans="1:6" x14ac:dyDescent="0.25">
      <c r="A198" s="1">
        <v>44769</v>
      </c>
      <c r="B198" t="s">
        <v>12</v>
      </c>
      <c r="C198" t="s">
        <v>19</v>
      </c>
      <c r="D198">
        <v>3</v>
      </c>
      <c r="E198">
        <v>59.89</v>
      </c>
      <c r="F198" t="s">
        <v>22</v>
      </c>
    </row>
    <row r="199" spans="1:6" x14ac:dyDescent="0.25">
      <c r="A199" s="1">
        <v>44712</v>
      </c>
      <c r="B199" t="s">
        <v>17</v>
      </c>
      <c r="C199" t="s">
        <v>13</v>
      </c>
      <c r="D199">
        <v>15</v>
      </c>
      <c r="E199">
        <v>363.94</v>
      </c>
      <c r="F199" t="s">
        <v>11</v>
      </c>
    </row>
    <row r="200" spans="1:6" x14ac:dyDescent="0.25">
      <c r="A200" s="1">
        <v>44699</v>
      </c>
      <c r="B200" t="s">
        <v>15</v>
      </c>
      <c r="C200" t="s">
        <v>20</v>
      </c>
      <c r="D200">
        <v>7</v>
      </c>
      <c r="E200">
        <v>91.95</v>
      </c>
      <c r="F200" t="s">
        <v>14</v>
      </c>
    </row>
    <row r="201" spans="1:6" x14ac:dyDescent="0.25">
      <c r="A201" s="1">
        <v>44728</v>
      </c>
      <c r="B201" t="s">
        <v>21</v>
      </c>
      <c r="C201" t="s">
        <v>19</v>
      </c>
      <c r="D201">
        <v>15</v>
      </c>
      <c r="E201">
        <v>150.34</v>
      </c>
      <c r="F201" t="s">
        <v>14</v>
      </c>
    </row>
    <row r="202" spans="1:6" x14ac:dyDescent="0.25">
      <c r="A202" s="1">
        <v>44698</v>
      </c>
      <c r="B202" t="s">
        <v>21</v>
      </c>
      <c r="C202" t="s">
        <v>13</v>
      </c>
      <c r="D202">
        <v>17</v>
      </c>
      <c r="E202">
        <v>180.65</v>
      </c>
      <c r="F202" t="s">
        <v>8</v>
      </c>
    </row>
    <row r="203" spans="1:6" x14ac:dyDescent="0.25">
      <c r="A203" s="1">
        <v>44597</v>
      </c>
      <c r="B203" t="s">
        <v>15</v>
      </c>
      <c r="C203" t="s">
        <v>23</v>
      </c>
      <c r="D203">
        <v>8</v>
      </c>
      <c r="E203">
        <v>110.6</v>
      </c>
      <c r="F203" t="s">
        <v>22</v>
      </c>
    </row>
    <row r="204" spans="1:6" x14ac:dyDescent="0.25">
      <c r="A204" s="1">
        <v>44665</v>
      </c>
      <c r="B204" t="s">
        <v>6</v>
      </c>
      <c r="C204" t="s">
        <v>10</v>
      </c>
      <c r="D204">
        <v>20</v>
      </c>
      <c r="E204">
        <v>330.3</v>
      </c>
      <c r="F204" t="s">
        <v>8</v>
      </c>
    </row>
    <row r="205" spans="1:6" x14ac:dyDescent="0.25">
      <c r="A205" s="1">
        <v>44743</v>
      </c>
      <c r="B205" t="s">
        <v>12</v>
      </c>
      <c r="C205" t="s">
        <v>24</v>
      </c>
      <c r="D205">
        <v>8</v>
      </c>
      <c r="E205">
        <v>93.83</v>
      </c>
      <c r="F205" t="s">
        <v>16</v>
      </c>
    </row>
    <row r="206" spans="1:6" x14ac:dyDescent="0.25">
      <c r="A206" s="1">
        <v>44572</v>
      </c>
      <c r="B206" t="s">
        <v>9</v>
      </c>
      <c r="C206" t="s">
        <v>7</v>
      </c>
      <c r="D206">
        <v>19</v>
      </c>
      <c r="E206">
        <v>210.77</v>
      </c>
      <c r="F206" t="s">
        <v>14</v>
      </c>
    </row>
    <row r="207" spans="1:6" x14ac:dyDescent="0.25">
      <c r="A207" s="1">
        <v>44721</v>
      </c>
      <c r="B207" t="s">
        <v>6</v>
      </c>
      <c r="C207" t="s">
        <v>13</v>
      </c>
      <c r="D207">
        <v>14</v>
      </c>
      <c r="E207">
        <v>307.75</v>
      </c>
      <c r="F207" t="s">
        <v>16</v>
      </c>
    </row>
    <row r="208" spans="1:6" x14ac:dyDescent="0.25">
      <c r="A208" s="1">
        <v>44714</v>
      </c>
      <c r="B208" t="s">
        <v>15</v>
      </c>
      <c r="C208" t="s">
        <v>23</v>
      </c>
      <c r="D208">
        <v>18</v>
      </c>
      <c r="E208">
        <v>149.85</v>
      </c>
      <c r="F208" t="s">
        <v>8</v>
      </c>
    </row>
    <row r="209" spans="1:6" x14ac:dyDescent="0.25">
      <c r="A209" s="1">
        <v>44751</v>
      </c>
      <c r="B209" t="s">
        <v>21</v>
      </c>
      <c r="C209" t="s">
        <v>24</v>
      </c>
      <c r="D209">
        <v>20</v>
      </c>
      <c r="E209">
        <v>176.04</v>
      </c>
      <c r="F209" t="s">
        <v>14</v>
      </c>
    </row>
    <row r="210" spans="1:6" x14ac:dyDescent="0.25">
      <c r="A210" s="1">
        <v>44752</v>
      </c>
      <c r="B210" t="s">
        <v>17</v>
      </c>
      <c r="C210" t="s">
        <v>7</v>
      </c>
      <c r="D210">
        <v>8</v>
      </c>
      <c r="E210">
        <v>102.72</v>
      </c>
      <c r="F210" t="s">
        <v>16</v>
      </c>
    </row>
    <row r="211" spans="1:6" x14ac:dyDescent="0.25">
      <c r="A211" s="1">
        <v>44779</v>
      </c>
      <c r="B211" t="s">
        <v>12</v>
      </c>
      <c r="C211" t="s">
        <v>19</v>
      </c>
      <c r="D211">
        <v>18</v>
      </c>
      <c r="E211">
        <v>224.44</v>
      </c>
      <c r="F211" t="s">
        <v>8</v>
      </c>
    </row>
    <row r="212" spans="1:6" x14ac:dyDescent="0.25">
      <c r="A212" s="1">
        <v>44606</v>
      </c>
      <c r="B212" t="s">
        <v>18</v>
      </c>
      <c r="C212" t="s">
        <v>20</v>
      </c>
      <c r="D212">
        <v>1</v>
      </c>
      <c r="E212">
        <v>23.68</v>
      </c>
      <c r="F212" t="s">
        <v>8</v>
      </c>
    </row>
    <row r="213" spans="1:6" x14ac:dyDescent="0.25">
      <c r="A213" s="1">
        <v>44685</v>
      </c>
      <c r="B213" t="s">
        <v>21</v>
      </c>
      <c r="C213" t="s">
        <v>7</v>
      </c>
      <c r="D213">
        <v>2</v>
      </c>
      <c r="E213">
        <v>47.79</v>
      </c>
      <c r="F213" t="s">
        <v>8</v>
      </c>
    </row>
    <row r="214" spans="1:6" x14ac:dyDescent="0.25">
      <c r="A214" s="1">
        <v>44790</v>
      </c>
      <c r="B214" t="s">
        <v>9</v>
      </c>
      <c r="C214" t="s">
        <v>19</v>
      </c>
      <c r="D214">
        <v>10</v>
      </c>
      <c r="E214">
        <v>154.6</v>
      </c>
      <c r="F214" t="s">
        <v>22</v>
      </c>
    </row>
    <row r="215" spans="1:6" x14ac:dyDescent="0.25">
      <c r="A215" s="1">
        <v>44698</v>
      </c>
      <c r="B215" t="s">
        <v>21</v>
      </c>
      <c r="C215" t="s">
        <v>10</v>
      </c>
      <c r="D215">
        <v>8</v>
      </c>
      <c r="E215">
        <v>158.49</v>
      </c>
      <c r="F215" t="s">
        <v>22</v>
      </c>
    </row>
    <row r="216" spans="1:6" x14ac:dyDescent="0.25">
      <c r="A216" s="1">
        <v>44775</v>
      </c>
      <c r="B216" t="s">
        <v>18</v>
      </c>
      <c r="C216" t="s">
        <v>20</v>
      </c>
      <c r="D216">
        <v>7</v>
      </c>
      <c r="E216">
        <v>68.989999999999995</v>
      </c>
      <c r="F216" t="s">
        <v>22</v>
      </c>
    </row>
    <row r="217" spans="1:6" x14ac:dyDescent="0.25">
      <c r="A217" s="1">
        <v>44702</v>
      </c>
      <c r="B217" t="s">
        <v>18</v>
      </c>
      <c r="C217" t="s">
        <v>10</v>
      </c>
      <c r="D217">
        <v>9</v>
      </c>
      <c r="E217">
        <v>186.56</v>
      </c>
      <c r="F217" t="s">
        <v>22</v>
      </c>
    </row>
    <row r="218" spans="1:6" x14ac:dyDescent="0.25">
      <c r="A218" s="1">
        <v>44733</v>
      </c>
      <c r="B218" t="s">
        <v>12</v>
      </c>
      <c r="C218" t="s">
        <v>24</v>
      </c>
      <c r="D218">
        <v>2</v>
      </c>
      <c r="E218">
        <v>36.61</v>
      </c>
      <c r="F218" t="s">
        <v>11</v>
      </c>
    </row>
    <row r="219" spans="1:6" x14ac:dyDescent="0.25">
      <c r="A219" s="1">
        <v>44569</v>
      </c>
      <c r="B219" t="s">
        <v>12</v>
      </c>
      <c r="C219" t="s">
        <v>19</v>
      </c>
      <c r="D219">
        <v>16</v>
      </c>
      <c r="E219">
        <v>392.8</v>
      </c>
      <c r="F219" t="s">
        <v>8</v>
      </c>
    </row>
    <row r="220" spans="1:6" x14ac:dyDescent="0.25">
      <c r="A220" s="1">
        <v>44723</v>
      </c>
      <c r="B220" t="s">
        <v>21</v>
      </c>
      <c r="C220" t="s">
        <v>13</v>
      </c>
      <c r="D220">
        <v>5</v>
      </c>
      <c r="E220">
        <v>82.32</v>
      </c>
      <c r="F220" t="s">
        <v>22</v>
      </c>
    </row>
    <row r="221" spans="1:6" x14ac:dyDescent="0.25">
      <c r="A221" s="1">
        <v>44659</v>
      </c>
      <c r="B221" t="s">
        <v>18</v>
      </c>
      <c r="C221" t="s">
        <v>10</v>
      </c>
      <c r="D221">
        <v>6</v>
      </c>
      <c r="E221">
        <v>128.69</v>
      </c>
      <c r="F221" t="s">
        <v>14</v>
      </c>
    </row>
    <row r="222" spans="1:6" x14ac:dyDescent="0.25">
      <c r="A222" s="1">
        <v>44777</v>
      </c>
      <c r="B222" t="s">
        <v>6</v>
      </c>
      <c r="C222" t="s">
        <v>10</v>
      </c>
      <c r="D222">
        <v>13</v>
      </c>
      <c r="E222">
        <v>323.95999999999998</v>
      </c>
      <c r="F222" t="s">
        <v>16</v>
      </c>
    </row>
    <row r="223" spans="1:6" x14ac:dyDescent="0.25">
      <c r="A223" s="1">
        <v>44633</v>
      </c>
      <c r="B223" t="s">
        <v>21</v>
      </c>
      <c r="C223" t="s">
        <v>23</v>
      </c>
      <c r="D223">
        <v>9</v>
      </c>
      <c r="E223">
        <v>180.57</v>
      </c>
      <c r="F223" t="s">
        <v>8</v>
      </c>
    </row>
    <row r="224" spans="1:6" x14ac:dyDescent="0.25">
      <c r="A224" s="1">
        <v>44798</v>
      </c>
      <c r="B224" t="s">
        <v>9</v>
      </c>
      <c r="C224" t="s">
        <v>23</v>
      </c>
      <c r="D224">
        <v>18</v>
      </c>
      <c r="E224">
        <v>229.15</v>
      </c>
      <c r="F224" t="s">
        <v>14</v>
      </c>
    </row>
    <row r="225" spans="1:6" x14ac:dyDescent="0.25">
      <c r="A225" s="1">
        <v>44792</v>
      </c>
      <c r="B225" t="s">
        <v>6</v>
      </c>
      <c r="C225" t="s">
        <v>23</v>
      </c>
      <c r="D225">
        <v>7</v>
      </c>
      <c r="E225">
        <v>163.5</v>
      </c>
      <c r="F225" t="s">
        <v>16</v>
      </c>
    </row>
    <row r="226" spans="1:6" x14ac:dyDescent="0.25">
      <c r="A226" s="1">
        <v>44630</v>
      </c>
      <c r="B226" t="s">
        <v>9</v>
      </c>
      <c r="C226" t="s">
        <v>20</v>
      </c>
      <c r="D226">
        <v>6</v>
      </c>
      <c r="E226">
        <v>124.34</v>
      </c>
      <c r="F226" t="s">
        <v>22</v>
      </c>
    </row>
    <row r="227" spans="1:6" x14ac:dyDescent="0.25">
      <c r="A227" s="1">
        <v>44613</v>
      </c>
      <c r="B227" t="s">
        <v>21</v>
      </c>
      <c r="C227" t="s">
        <v>23</v>
      </c>
      <c r="D227">
        <v>5</v>
      </c>
      <c r="E227">
        <v>64.33</v>
      </c>
      <c r="F227" t="s">
        <v>14</v>
      </c>
    </row>
    <row r="228" spans="1:6" x14ac:dyDescent="0.25">
      <c r="A228" s="1">
        <v>44685</v>
      </c>
      <c r="B228" t="s">
        <v>9</v>
      </c>
      <c r="C228" t="s">
        <v>7</v>
      </c>
      <c r="D228">
        <v>8</v>
      </c>
      <c r="E228">
        <v>94.84</v>
      </c>
      <c r="F228" t="s">
        <v>22</v>
      </c>
    </row>
    <row r="229" spans="1:6" x14ac:dyDescent="0.25">
      <c r="A229" s="1">
        <v>44580</v>
      </c>
      <c r="B229" t="s">
        <v>15</v>
      </c>
      <c r="C229" t="s">
        <v>19</v>
      </c>
      <c r="D229">
        <v>18</v>
      </c>
      <c r="E229">
        <v>432</v>
      </c>
      <c r="F229" t="s">
        <v>11</v>
      </c>
    </row>
    <row r="230" spans="1:6" x14ac:dyDescent="0.25">
      <c r="A230" s="1">
        <v>44715</v>
      </c>
      <c r="B230" t="s">
        <v>17</v>
      </c>
      <c r="C230" t="s">
        <v>24</v>
      </c>
      <c r="D230">
        <v>19</v>
      </c>
      <c r="E230">
        <v>368.72</v>
      </c>
      <c r="F230" t="s">
        <v>16</v>
      </c>
    </row>
    <row r="231" spans="1:6" x14ac:dyDescent="0.25">
      <c r="A231" s="1">
        <v>44751</v>
      </c>
      <c r="B231" t="s">
        <v>21</v>
      </c>
      <c r="C231" t="s">
        <v>10</v>
      </c>
      <c r="D231">
        <v>20</v>
      </c>
      <c r="E231">
        <v>486.94</v>
      </c>
      <c r="F231" t="s">
        <v>22</v>
      </c>
    </row>
    <row r="232" spans="1:6" x14ac:dyDescent="0.25">
      <c r="A232" s="1">
        <v>44783</v>
      </c>
      <c r="B232" t="s">
        <v>9</v>
      </c>
      <c r="C232" t="s">
        <v>7</v>
      </c>
      <c r="D232">
        <v>13</v>
      </c>
      <c r="E232">
        <v>320.79000000000002</v>
      </c>
      <c r="F232" t="s">
        <v>22</v>
      </c>
    </row>
    <row r="233" spans="1:6" x14ac:dyDescent="0.25">
      <c r="A233" s="1">
        <v>44755</v>
      </c>
      <c r="B233" t="s">
        <v>15</v>
      </c>
      <c r="C233" t="s">
        <v>23</v>
      </c>
      <c r="D233">
        <v>18</v>
      </c>
      <c r="E233">
        <v>431.39</v>
      </c>
      <c r="F233" t="s">
        <v>22</v>
      </c>
    </row>
    <row r="234" spans="1:6" x14ac:dyDescent="0.25">
      <c r="A234" s="1">
        <v>44617</v>
      </c>
      <c r="B234" t="s">
        <v>18</v>
      </c>
      <c r="C234" t="s">
        <v>20</v>
      </c>
      <c r="D234">
        <v>4</v>
      </c>
      <c r="E234">
        <v>67.5</v>
      </c>
      <c r="F234" t="s">
        <v>14</v>
      </c>
    </row>
    <row r="235" spans="1:6" x14ac:dyDescent="0.25">
      <c r="A235" s="1">
        <v>44769</v>
      </c>
      <c r="B235" t="s">
        <v>17</v>
      </c>
      <c r="C235" t="s">
        <v>19</v>
      </c>
      <c r="D235">
        <v>15</v>
      </c>
      <c r="E235">
        <v>220.62</v>
      </c>
      <c r="F235" t="s">
        <v>22</v>
      </c>
    </row>
    <row r="236" spans="1:6" x14ac:dyDescent="0.25">
      <c r="A236" s="1">
        <v>44786</v>
      </c>
      <c r="B236" t="s">
        <v>17</v>
      </c>
      <c r="C236" t="s">
        <v>23</v>
      </c>
      <c r="D236">
        <v>5</v>
      </c>
      <c r="E236">
        <v>97.52</v>
      </c>
      <c r="F236" t="s">
        <v>22</v>
      </c>
    </row>
    <row r="237" spans="1:6" x14ac:dyDescent="0.25">
      <c r="A237" s="1">
        <v>44800</v>
      </c>
      <c r="B237" t="s">
        <v>9</v>
      </c>
      <c r="C237" t="s">
        <v>10</v>
      </c>
      <c r="D237">
        <v>6</v>
      </c>
      <c r="E237">
        <v>112.49</v>
      </c>
      <c r="F237" t="s">
        <v>16</v>
      </c>
    </row>
    <row r="238" spans="1:6" x14ac:dyDescent="0.25">
      <c r="A238" s="1">
        <v>44638</v>
      </c>
      <c r="B238" t="s">
        <v>9</v>
      </c>
      <c r="C238" t="s">
        <v>24</v>
      </c>
      <c r="D238">
        <v>2</v>
      </c>
      <c r="E238">
        <v>45.57</v>
      </c>
      <c r="F238" t="s">
        <v>11</v>
      </c>
    </row>
    <row r="239" spans="1:6" x14ac:dyDescent="0.25">
      <c r="A239" s="1">
        <v>44759</v>
      </c>
      <c r="B239" t="s">
        <v>18</v>
      </c>
      <c r="C239" t="s">
        <v>10</v>
      </c>
      <c r="D239">
        <v>9</v>
      </c>
      <c r="E239">
        <v>100.77</v>
      </c>
      <c r="F239" t="s">
        <v>14</v>
      </c>
    </row>
    <row r="240" spans="1:6" x14ac:dyDescent="0.25">
      <c r="A240" s="1">
        <v>44680</v>
      </c>
      <c r="B240" t="s">
        <v>15</v>
      </c>
      <c r="C240" t="s">
        <v>10</v>
      </c>
      <c r="D240">
        <v>12</v>
      </c>
      <c r="E240">
        <v>295.77999999999997</v>
      </c>
      <c r="F240" t="s">
        <v>8</v>
      </c>
    </row>
    <row r="241" spans="1:6" x14ac:dyDescent="0.25">
      <c r="A241" s="1">
        <v>44719</v>
      </c>
      <c r="B241" t="s">
        <v>15</v>
      </c>
      <c r="C241" t="s">
        <v>23</v>
      </c>
      <c r="D241">
        <v>17</v>
      </c>
      <c r="E241">
        <v>381.45</v>
      </c>
      <c r="F241" t="s">
        <v>14</v>
      </c>
    </row>
    <row r="242" spans="1:6" x14ac:dyDescent="0.25">
      <c r="A242" s="1">
        <v>44592</v>
      </c>
      <c r="B242" t="s">
        <v>21</v>
      </c>
      <c r="C242" t="s">
        <v>7</v>
      </c>
      <c r="D242">
        <v>11</v>
      </c>
      <c r="E242">
        <v>155.16</v>
      </c>
      <c r="F242" t="s">
        <v>11</v>
      </c>
    </row>
    <row r="243" spans="1:6" x14ac:dyDescent="0.25">
      <c r="A243" s="1">
        <v>44712</v>
      </c>
      <c r="B243" t="s">
        <v>15</v>
      </c>
      <c r="C243" t="s">
        <v>13</v>
      </c>
      <c r="D243">
        <v>18</v>
      </c>
      <c r="E243">
        <v>309.25</v>
      </c>
      <c r="F243" t="s">
        <v>8</v>
      </c>
    </row>
    <row r="244" spans="1:6" x14ac:dyDescent="0.25">
      <c r="A244" s="1">
        <v>44717</v>
      </c>
      <c r="B244" t="s">
        <v>6</v>
      </c>
      <c r="C244" t="s">
        <v>23</v>
      </c>
      <c r="D244">
        <v>3</v>
      </c>
      <c r="E244">
        <v>48.59</v>
      </c>
      <c r="F244" t="s">
        <v>14</v>
      </c>
    </row>
    <row r="245" spans="1:6" x14ac:dyDescent="0.25">
      <c r="A245" s="1">
        <v>44587</v>
      </c>
      <c r="B245" t="s">
        <v>18</v>
      </c>
      <c r="C245" t="s">
        <v>19</v>
      </c>
      <c r="D245">
        <v>14</v>
      </c>
      <c r="E245">
        <v>141.91999999999999</v>
      </c>
      <c r="F245" t="s">
        <v>11</v>
      </c>
    </row>
    <row r="246" spans="1:6" x14ac:dyDescent="0.25">
      <c r="A246" s="1">
        <v>44798</v>
      </c>
      <c r="B246" t="s">
        <v>12</v>
      </c>
      <c r="C246" t="s">
        <v>24</v>
      </c>
      <c r="D246">
        <v>4</v>
      </c>
      <c r="E246">
        <v>67.94</v>
      </c>
      <c r="F246" t="s">
        <v>16</v>
      </c>
    </row>
    <row r="247" spans="1:6" x14ac:dyDescent="0.25">
      <c r="A247" s="1">
        <v>44575</v>
      </c>
      <c r="B247" t="s">
        <v>18</v>
      </c>
      <c r="C247" t="s">
        <v>10</v>
      </c>
      <c r="D247">
        <v>13</v>
      </c>
      <c r="E247">
        <v>289.57</v>
      </c>
      <c r="F247" t="s">
        <v>16</v>
      </c>
    </row>
    <row r="248" spans="1:6" x14ac:dyDescent="0.25">
      <c r="A248" s="1">
        <v>44643</v>
      </c>
      <c r="B248" t="s">
        <v>21</v>
      </c>
      <c r="C248" t="s">
        <v>20</v>
      </c>
      <c r="D248">
        <v>19</v>
      </c>
      <c r="E248">
        <v>335.15</v>
      </c>
      <c r="F248" t="s">
        <v>8</v>
      </c>
    </row>
    <row r="249" spans="1:6" x14ac:dyDescent="0.25">
      <c r="A249" s="1">
        <v>44776</v>
      </c>
      <c r="B249" t="s">
        <v>17</v>
      </c>
      <c r="C249" t="s">
        <v>24</v>
      </c>
      <c r="D249">
        <v>6</v>
      </c>
      <c r="E249">
        <v>88.2</v>
      </c>
      <c r="F249" t="s">
        <v>22</v>
      </c>
    </row>
    <row r="250" spans="1:6" x14ac:dyDescent="0.25">
      <c r="A250" s="1">
        <v>44656</v>
      </c>
      <c r="B250" t="s">
        <v>21</v>
      </c>
      <c r="C250" t="s">
        <v>13</v>
      </c>
      <c r="D250">
        <v>2</v>
      </c>
      <c r="E250">
        <v>47.92</v>
      </c>
      <c r="F250" t="s">
        <v>11</v>
      </c>
    </row>
    <row r="251" spans="1:6" x14ac:dyDescent="0.25">
      <c r="A251" s="1">
        <v>44589</v>
      </c>
      <c r="B251" t="s">
        <v>9</v>
      </c>
      <c r="C251" t="s">
        <v>23</v>
      </c>
      <c r="D251">
        <v>7</v>
      </c>
      <c r="E251">
        <v>65.17</v>
      </c>
      <c r="F251" t="s">
        <v>8</v>
      </c>
    </row>
    <row r="252" spans="1:6" x14ac:dyDescent="0.25">
      <c r="A252" s="1">
        <v>44577</v>
      </c>
      <c r="B252" t="s">
        <v>17</v>
      </c>
      <c r="C252" t="s">
        <v>7</v>
      </c>
      <c r="D252">
        <v>3</v>
      </c>
      <c r="E252">
        <v>27.98</v>
      </c>
      <c r="F252" t="s">
        <v>16</v>
      </c>
    </row>
    <row r="253" spans="1:6" x14ac:dyDescent="0.25">
      <c r="A253" s="1">
        <v>44613</v>
      </c>
      <c r="B253" t="s">
        <v>21</v>
      </c>
      <c r="C253" t="s">
        <v>24</v>
      </c>
      <c r="D253">
        <v>8</v>
      </c>
      <c r="E253">
        <v>197.83</v>
      </c>
      <c r="F253" t="s">
        <v>16</v>
      </c>
    </row>
    <row r="254" spans="1:6" x14ac:dyDescent="0.25">
      <c r="A254" s="1">
        <v>44622</v>
      </c>
      <c r="B254" t="s">
        <v>18</v>
      </c>
      <c r="C254" t="s">
        <v>10</v>
      </c>
      <c r="D254">
        <v>11</v>
      </c>
      <c r="E254">
        <v>204.72</v>
      </c>
      <c r="F254" t="s">
        <v>11</v>
      </c>
    </row>
    <row r="255" spans="1:6" x14ac:dyDescent="0.25">
      <c r="A255" s="1">
        <v>44622</v>
      </c>
      <c r="B255" t="s">
        <v>6</v>
      </c>
      <c r="C255" t="s">
        <v>7</v>
      </c>
      <c r="D255">
        <v>17</v>
      </c>
      <c r="E255">
        <v>316.18</v>
      </c>
      <c r="F255" t="s">
        <v>14</v>
      </c>
    </row>
    <row r="256" spans="1:6" x14ac:dyDescent="0.25">
      <c r="A256" s="1">
        <v>44612</v>
      </c>
      <c r="B256" t="s">
        <v>9</v>
      </c>
      <c r="C256" t="s">
        <v>24</v>
      </c>
      <c r="D256">
        <v>8</v>
      </c>
      <c r="E256">
        <v>81.36</v>
      </c>
      <c r="F256" t="s">
        <v>8</v>
      </c>
    </row>
    <row r="257" spans="1:6" x14ac:dyDescent="0.25">
      <c r="A257" s="1">
        <v>44633</v>
      </c>
      <c r="B257" t="s">
        <v>6</v>
      </c>
      <c r="C257" t="s">
        <v>7</v>
      </c>
      <c r="D257">
        <v>18</v>
      </c>
      <c r="E257">
        <v>315.74</v>
      </c>
      <c r="F257" t="s">
        <v>22</v>
      </c>
    </row>
    <row r="258" spans="1:6" x14ac:dyDescent="0.25">
      <c r="A258" s="1">
        <v>44594</v>
      </c>
      <c r="B258" t="s">
        <v>15</v>
      </c>
      <c r="C258" t="s">
        <v>24</v>
      </c>
      <c r="D258">
        <v>4</v>
      </c>
      <c r="E258">
        <v>88.26</v>
      </c>
      <c r="F258" t="s">
        <v>22</v>
      </c>
    </row>
    <row r="259" spans="1:6" x14ac:dyDescent="0.25">
      <c r="A259" s="1">
        <v>44762</v>
      </c>
      <c r="B259" t="s">
        <v>6</v>
      </c>
      <c r="C259" t="s">
        <v>19</v>
      </c>
      <c r="D259">
        <v>2</v>
      </c>
      <c r="E259">
        <v>28.36</v>
      </c>
      <c r="F259" t="s">
        <v>11</v>
      </c>
    </row>
    <row r="260" spans="1:6" x14ac:dyDescent="0.25">
      <c r="A260" s="1">
        <v>44684</v>
      </c>
      <c r="B260" t="s">
        <v>12</v>
      </c>
      <c r="C260" t="s">
        <v>10</v>
      </c>
      <c r="D260">
        <v>9</v>
      </c>
      <c r="E260">
        <v>138.31</v>
      </c>
      <c r="F260" t="s">
        <v>11</v>
      </c>
    </row>
    <row r="261" spans="1:6" x14ac:dyDescent="0.25">
      <c r="A261" s="1">
        <v>44683</v>
      </c>
      <c r="B261" t="s">
        <v>6</v>
      </c>
      <c r="C261" t="s">
        <v>24</v>
      </c>
      <c r="D261">
        <v>18</v>
      </c>
      <c r="E261">
        <v>260.35000000000002</v>
      </c>
      <c r="F261" t="s">
        <v>16</v>
      </c>
    </row>
    <row r="262" spans="1:6" x14ac:dyDescent="0.25">
      <c r="A262" s="1">
        <v>44737</v>
      </c>
      <c r="B262" t="s">
        <v>12</v>
      </c>
      <c r="C262" t="s">
        <v>19</v>
      </c>
      <c r="D262">
        <v>13</v>
      </c>
      <c r="E262">
        <v>227.31</v>
      </c>
      <c r="F262" t="s">
        <v>14</v>
      </c>
    </row>
    <row r="263" spans="1:6" x14ac:dyDescent="0.25">
      <c r="A263" s="1">
        <v>44798</v>
      </c>
      <c r="B263" t="s">
        <v>21</v>
      </c>
      <c r="C263" t="s">
        <v>23</v>
      </c>
      <c r="D263">
        <v>16</v>
      </c>
      <c r="E263">
        <v>130.5</v>
      </c>
      <c r="F263" t="s">
        <v>8</v>
      </c>
    </row>
    <row r="264" spans="1:6" x14ac:dyDescent="0.25">
      <c r="A264" s="1">
        <v>44769</v>
      </c>
      <c r="B264" t="s">
        <v>18</v>
      </c>
      <c r="C264" t="s">
        <v>7</v>
      </c>
      <c r="D264">
        <v>4</v>
      </c>
      <c r="E264">
        <v>86.5</v>
      </c>
      <c r="F264" t="s">
        <v>16</v>
      </c>
    </row>
    <row r="265" spans="1:6" x14ac:dyDescent="0.25">
      <c r="A265" s="1">
        <v>44799</v>
      </c>
      <c r="B265" t="s">
        <v>17</v>
      </c>
      <c r="C265" t="s">
        <v>10</v>
      </c>
      <c r="D265">
        <v>19</v>
      </c>
      <c r="E265">
        <v>364.12</v>
      </c>
      <c r="F265" t="s">
        <v>8</v>
      </c>
    </row>
    <row r="266" spans="1:6" x14ac:dyDescent="0.25">
      <c r="A266" s="1">
        <v>44694</v>
      </c>
      <c r="B266" t="s">
        <v>17</v>
      </c>
      <c r="C266" t="s">
        <v>10</v>
      </c>
      <c r="D266">
        <v>7</v>
      </c>
      <c r="E266">
        <v>134.85</v>
      </c>
      <c r="F266" t="s">
        <v>14</v>
      </c>
    </row>
    <row r="267" spans="1:6" x14ac:dyDescent="0.25">
      <c r="A267" s="1">
        <v>44604</v>
      </c>
      <c r="B267" t="s">
        <v>15</v>
      </c>
      <c r="C267" t="s">
        <v>20</v>
      </c>
      <c r="D267">
        <v>14</v>
      </c>
      <c r="E267">
        <v>290.45</v>
      </c>
      <c r="F267" t="s">
        <v>14</v>
      </c>
    </row>
    <row r="268" spans="1:6" x14ac:dyDescent="0.25">
      <c r="A268" s="1">
        <v>44634</v>
      </c>
      <c r="B268" t="s">
        <v>21</v>
      </c>
      <c r="C268" t="s">
        <v>24</v>
      </c>
      <c r="D268">
        <v>20</v>
      </c>
      <c r="E268">
        <v>244.72</v>
      </c>
      <c r="F268" t="s">
        <v>11</v>
      </c>
    </row>
    <row r="269" spans="1:6" x14ac:dyDescent="0.25">
      <c r="A269" s="1">
        <v>44723</v>
      </c>
      <c r="B269" t="s">
        <v>9</v>
      </c>
      <c r="C269" t="s">
        <v>7</v>
      </c>
      <c r="D269">
        <v>4</v>
      </c>
      <c r="E269">
        <v>75.989999999999995</v>
      </c>
      <c r="F269" t="s">
        <v>14</v>
      </c>
    </row>
    <row r="270" spans="1:6" x14ac:dyDescent="0.25">
      <c r="A270" s="1">
        <v>44623</v>
      </c>
      <c r="B270" t="s">
        <v>17</v>
      </c>
      <c r="C270" t="s">
        <v>19</v>
      </c>
      <c r="D270">
        <v>13</v>
      </c>
      <c r="E270">
        <v>318.33</v>
      </c>
      <c r="F270" t="s">
        <v>16</v>
      </c>
    </row>
    <row r="271" spans="1:6" x14ac:dyDescent="0.25">
      <c r="A271" s="1">
        <v>44568</v>
      </c>
      <c r="B271" t="s">
        <v>17</v>
      </c>
      <c r="C271" t="s">
        <v>20</v>
      </c>
      <c r="D271">
        <v>10</v>
      </c>
      <c r="E271">
        <v>220.07</v>
      </c>
      <c r="F271" t="s">
        <v>16</v>
      </c>
    </row>
    <row r="272" spans="1:6" x14ac:dyDescent="0.25">
      <c r="A272" s="1">
        <v>44574</v>
      </c>
      <c r="B272" t="s">
        <v>9</v>
      </c>
      <c r="C272" t="s">
        <v>19</v>
      </c>
      <c r="D272">
        <v>17</v>
      </c>
      <c r="E272">
        <v>311.83</v>
      </c>
      <c r="F272" t="s">
        <v>11</v>
      </c>
    </row>
    <row r="273" spans="1:6" x14ac:dyDescent="0.25">
      <c r="A273" s="1">
        <v>44588</v>
      </c>
      <c r="B273" t="s">
        <v>9</v>
      </c>
      <c r="C273" t="s">
        <v>24</v>
      </c>
      <c r="D273">
        <v>12</v>
      </c>
      <c r="E273">
        <v>158.5</v>
      </c>
      <c r="F273" t="s">
        <v>22</v>
      </c>
    </row>
    <row r="274" spans="1:6" x14ac:dyDescent="0.25">
      <c r="A274" s="1">
        <v>44749</v>
      </c>
      <c r="B274" t="s">
        <v>6</v>
      </c>
      <c r="C274" t="s">
        <v>23</v>
      </c>
      <c r="D274">
        <v>5</v>
      </c>
      <c r="E274">
        <v>57.11</v>
      </c>
      <c r="F274" t="s">
        <v>11</v>
      </c>
    </row>
    <row r="275" spans="1:6" x14ac:dyDescent="0.25">
      <c r="A275" s="1">
        <v>44605</v>
      </c>
      <c r="B275" t="s">
        <v>12</v>
      </c>
      <c r="C275" t="s">
        <v>19</v>
      </c>
      <c r="D275">
        <v>7</v>
      </c>
      <c r="E275">
        <v>125.02</v>
      </c>
      <c r="F275" t="s">
        <v>8</v>
      </c>
    </row>
    <row r="276" spans="1:6" x14ac:dyDescent="0.25">
      <c r="A276" s="1">
        <v>44659</v>
      </c>
      <c r="B276" t="s">
        <v>12</v>
      </c>
      <c r="C276" t="s">
        <v>23</v>
      </c>
      <c r="D276">
        <v>20</v>
      </c>
      <c r="E276">
        <v>494.08</v>
      </c>
      <c r="F276" t="s">
        <v>16</v>
      </c>
    </row>
    <row r="277" spans="1:6" x14ac:dyDescent="0.25">
      <c r="A277" s="1">
        <v>44744</v>
      </c>
      <c r="B277" t="s">
        <v>9</v>
      </c>
      <c r="C277" t="s">
        <v>19</v>
      </c>
      <c r="D277">
        <v>17</v>
      </c>
      <c r="E277">
        <v>374.2</v>
      </c>
      <c r="F277" t="s">
        <v>8</v>
      </c>
    </row>
    <row r="278" spans="1:6" x14ac:dyDescent="0.25">
      <c r="A278" s="1">
        <v>44606</v>
      </c>
      <c r="B278" t="s">
        <v>6</v>
      </c>
      <c r="C278" t="s">
        <v>10</v>
      </c>
      <c r="D278">
        <v>15</v>
      </c>
      <c r="E278">
        <v>312.47000000000003</v>
      </c>
      <c r="F278" t="s">
        <v>11</v>
      </c>
    </row>
    <row r="279" spans="1:6" x14ac:dyDescent="0.25">
      <c r="A279" s="1">
        <v>44757</v>
      </c>
      <c r="B279" t="s">
        <v>21</v>
      </c>
      <c r="C279" t="s">
        <v>13</v>
      </c>
      <c r="D279">
        <v>16</v>
      </c>
      <c r="E279">
        <v>371.27</v>
      </c>
      <c r="F279" t="s">
        <v>22</v>
      </c>
    </row>
    <row r="280" spans="1:6" x14ac:dyDescent="0.25">
      <c r="A280" s="1">
        <v>44600</v>
      </c>
      <c r="B280" t="s">
        <v>15</v>
      </c>
      <c r="C280" t="s">
        <v>7</v>
      </c>
      <c r="D280">
        <v>2</v>
      </c>
      <c r="E280">
        <v>49.7</v>
      </c>
      <c r="F280" t="s">
        <v>14</v>
      </c>
    </row>
    <row r="281" spans="1:6" x14ac:dyDescent="0.25">
      <c r="A281" s="1">
        <v>44608</v>
      </c>
      <c r="B281" t="s">
        <v>17</v>
      </c>
      <c r="C281" t="s">
        <v>23</v>
      </c>
      <c r="D281">
        <v>1</v>
      </c>
      <c r="E281">
        <v>8.77</v>
      </c>
      <c r="F281" t="s">
        <v>16</v>
      </c>
    </row>
    <row r="282" spans="1:6" x14ac:dyDescent="0.25">
      <c r="A282" s="1">
        <v>44795</v>
      </c>
      <c r="B282" t="s">
        <v>18</v>
      </c>
      <c r="C282" t="s">
        <v>20</v>
      </c>
      <c r="D282">
        <v>7</v>
      </c>
      <c r="E282">
        <v>146.37</v>
      </c>
      <c r="F282" t="s">
        <v>22</v>
      </c>
    </row>
    <row r="283" spans="1:6" x14ac:dyDescent="0.25">
      <c r="A283" s="1">
        <v>44696</v>
      </c>
      <c r="B283" t="s">
        <v>15</v>
      </c>
      <c r="C283" t="s">
        <v>13</v>
      </c>
      <c r="D283">
        <v>15</v>
      </c>
      <c r="E283">
        <v>273.64999999999998</v>
      </c>
      <c r="F283" t="s">
        <v>11</v>
      </c>
    </row>
    <row r="284" spans="1:6" x14ac:dyDescent="0.25">
      <c r="A284" s="1">
        <v>44757</v>
      </c>
      <c r="B284" t="s">
        <v>21</v>
      </c>
      <c r="C284" t="s">
        <v>24</v>
      </c>
      <c r="D284">
        <v>14</v>
      </c>
      <c r="E284">
        <v>185.36</v>
      </c>
      <c r="F284" t="s">
        <v>16</v>
      </c>
    </row>
    <row r="285" spans="1:6" x14ac:dyDescent="0.25">
      <c r="A285" s="1">
        <v>44622</v>
      </c>
      <c r="B285" t="s">
        <v>17</v>
      </c>
      <c r="C285" t="s">
        <v>20</v>
      </c>
      <c r="D285">
        <v>17</v>
      </c>
      <c r="E285">
        <v>219.07</v>
      </c>
      <c r="F285" t="s">
        <v>11</v>
      </c>
    </row>
    <row r="286" spans="1:6" x14ac:dyDescent="0.25">
      <c r="A286" s="1">
        <v>44568</v>
      </c>
      <c r="B286" t="s">
        <v>21</v>
      </c>
      <c r="C286" t="s">
        <v>24</v>
      </c>
      <c r="D286">
        <v>12</v>
      </c>
      <c r="E286">
        <v>134.44</v>
      </c>
      <c r="F286" t="s">
        <v>14</v>
      </c>
    </row>
    <row r="287" spans="1:6" x14ac:dyDescent="0.25">
      <c r="A287" s="1">
        <v>44603</v>
      </c>
      <c r="B287" t="s">
        <v>17</v>
      </c>
      <c r="C287" t="s">
        <v>23</v>
      </c>
      <c r="D287">
        <v>19</v>
      </c>
      <c r="E287">
        <v>474.65</v>
      </c>
      <c r="F287" t="s">
        <v>8</v>
      </c>
    </row>
    <row r="288" spans="1:6" x14ac:dyDescent="0.25">
      <c r="A288" s="1">
        <v>44597</v>
      </c>
      <c r="B288" t="s">
        <v>17</v>
      </c>
      <c r="C288" t="s">
        <v>10</v>
      </c>
      <c r="D288">
        <v>14</v>
      </c>
      <c r="E288">
        <v>289.68</v>
      </c>
      <c r="F288" t="s">
        <v>16</v>
      </c>
    </row>
    <row r="289" spans="1:6" x14ac:dyDescent="0.25">
      <c r="A289" s="1">
        <v>44678</v>
      </c>
      <c r="B289" t="s">
        <v>12</v>
      </c>
      <c r="C289" t="s">
        <v>24</v>
      </c>
      <c r="D289">
        <v>18</v>
      </c>
      <c r="E289">
        <v>401.63</v>
      </c>
      <c r="F289" t="s">
        <v>8</v>
      </c>
    </row>
    <row r="290" spans="1:6" x14ac:dyDescent="0.25">
      <c r="A290" s="1">
        <v>44636</v>
      </c>
      <c r="B290" t="s">
        <v>18</v>
      </c>
      <c r="C290" t="s">
        <v>24</v>
      </c>
      <c r="D290">
        <v>12</v>
      </c>
      <c r="E290">
        <v>123.89</v>
      </c>
      <c r="F290" t="s">
        <v>16</v>
      </c>
    </row>
    <row r="291" spans="1:6" x14ac:dyDescent="0.25">
      <c r="A291" s="1">
        <v>44759</v>
      </c>
      <c r="B291" t="s">
        <v>12</v>
      </c>
      <c r="C291" t="s">
        <v>20</v>
      </c>
      <c r="D291">
        <v>7</v>
      </c>
      <c r="E291">
        <v>140.54</v>
      </c>
      <c r="F291" t="s">
        <v>14</v>
      </c>
    </row>
    <row r="292" spans="1:6" x14ac:dyDescent="0.25">
      <c r="A292" s="1">
        <v>44766</v>
      </c>
      <c r="B292" t="s">
        <v>9</v>
      </c>
      <c r="C292" t="s">
        <v>19</v>
      </c>
      <c r="D292">
        <v>10</v>
      </c>
      <c r="E292">
        <v>209.65</v>
      </c>
      <c r="F292" t="s">
        <v>16</v>
      </c>
    </row>
    <row r="293" spans="1:6" x14ac:dyDescent="0.25">
      <c r="A293" s="1">
        <v>44579</v>
      </c>
      <c r="B293" t="s">
        <v>17</v>
      </c>
      <c r="C293" t="s">
        <v>7</v>
      </c>
      <c r="D293">
        <v>2</v>
      </c>
      <c r="E293">
        <v>33.090000000000003</v>
      </c>
      <c r="F293" t="s">
        <v>14</v>
      </c>
    </row>
    <row r="294" spans="1:6" x14ac:dyDescent="0.25">
      <c r="A294" s="1">
        <v>44766</v>
      </c>
      <c r="B294" t="s">
        <v>21</v>
      </c>
      <c r="C294" t="s">
        <v>13</v>
      </c>
      <c r="D294">
        <v>8</v>
      </c>
      <c r="E294">
        <v>157.03</v>
      </c>
      <c r="F294" t="s">
        <v>22</v>
      </c>
    </row>
    <row r="295" spans="1:6" x14ac:dyDescent="0.25">
      <c r="A295" s="1">
        <v>44768</v>
      </c>
      <c r="B295" t="s">
        <v>9</v>
      </c>
      <c r="C295" t="s">
        <v>19</v>
      </c>
      <c r="D295">
        <v>1</v>
      </c>
      <c r="E295">
        <v>17.670000000000002</v>
      </c>
      <c r="F295" t="s">
        <v>22</v>
      </c>
    </row>
    <row r="296" spans="1:6" x14ac:dyDescent="0.25">
      <c r="A296" s="1">
        <v>44715</v>
      </c>
      <c r="B296" t="s">
        <v>12</v>
      </c>
      <c r="C296" t="s">
        <v>19</v>
      </c>
      <c r="D296">
        <v>19</v>
      </c>
      <c r="E296">
        <v>341.45</v>
      </c>
      <c r="F296" t="s">
        <v>14</v>
      </c>
    </row>
    <row r="297" spans="1:6" x14ac:dyDescent="0.25">
      <c r="A297" s="1">
        <v>44717</v>
      </c>
      <c r="B297" t="s">
        <v>15</v>
      </c>
      <c r="C297" t="s">
        <v>19</v>
      </c>
      <c r="D297">
        <v>14</v>
      </c>
      <c r="E297">
        <v>194.98</v>
      </c>
      <c r="F297" t="s">
        <v>22</v>
      </c>
    </row>
    <row r="298" spans="1:6" x14ac:dyDescent="0.25">
      <c r="A298" s="1">
        <v>44785</v>
      </c>
      <c r="B298" t="s">
        <v>6</v>
      </c>
      <c r="C298" t="s">
        <v>13</v>
      </c>
      <c r="D298">
        <v>8</v>
      </c>
      <c r="E298">
        <v>78.790000000000006</v>
      </c>
      <c r="F298" t="s">
        <v>8</v>
      </c>
    </row>
    <row r="299" spans="1:6" x14ac:dyDescent="0.25">
      <c r="A299" s="1">
        <v>44728</v>
      </c>
      <c r="B299" t="s">
        <v>15</v>
      </c>
      <c r="C299" t="s">
        <v>7</v>
      </c>
      <c r="D299">
        <v>14</v>
      </c>
      <c r="E299">
        <v>131.03</v>
      </c>
      <c r="F299" t="s">
        <v>22</v>
      </c>
    </row>
    <row r="300" spans="1:6" x14ac:dyDescent="0.25">
      <c r="A300" s="1">
        <v>44588</v>
      </c>
      <c r="B300" t="s">
        <v>18</v>
      </c>
      <c r="C300" t="s">
        <v>24</v>
      </c>
      <c r="D300">
        <v>2</v>
      </c>
      <c r="E300">
        <v>33.67</v>
      </c>
      <c r="F300" t="s">
        <v>11</v>
      </c>
    </row>
    <row r="301" spans="1:6" x14ac:dyDescent="0.25">
      <c r="A301" s="1">
        <v>44716</v>
      </c>
      <c r="B301" t="s">
        <v>12</v>
      </c>
      <c r="C301" t="s">
        <v>19</v>
      </c>
      <c r="D301">
        <v>5</v>
      </c>
      <c r="E301">
        <v>41.09</v>
      </c>
      <c r="F301" t="s">
        <v>8</v>
      </c>
    </row>
    <row r="302" spans="1:6" x14ac:dyDescent="0.25">
      <c r="A302" s="1">
        <v>44735</v>
      </c>
      <c r="B302" t="s">
        <v>6</v>
      </c>
      <c r="C302" t="s">
        <v>13</v>
      </c>
      <c r="D302">
        <v>1</v>
      </c>
      <c r="E302">
        <v>17.39</v>
      </c>
      <c r="F302" t="s">
        <v>11</v>
      </c>
    </row>
    <row r="303" spans="1:6" x14ac:dyDescent="0.25">
      <c r="A303" s="1">
        <v>44756</v>
      </c>
      <c r="B303" t="s">
        <v>9</v>
      </c>
      <c r="C303" t="s">
        <v>23</v>
      </c>
      <c r="D303">
        <v>18</v>
      </c>
      <c r="E303">
        <v>364.2</v>
      </c>
      <c r="F303" t="s">
        <v>22</v>
      </c>
    </row>
    <row r="304" spans="1:6" x14ac:dyDescent="0.25">
      <c r="A304" s="1">
        <v>44583</v>
      </c>
      <c r="B304" t="s">
        <v>15</v>
      </c>
      <c r="C304" t="s">
        <v>7</v>
      </c>
      <c r="D304">
        <v>6</v>
      </c>
      <c r="E304">
        <v>68.209999999999994</v>
      </c>
      <c r="F304" t="s">
        <v>14</v>
      </c>
    </row>
    <row r="305" spans="1:6" x14ac:dyDescent="0.25">
      <c r="A305" s="1">
        <v>44764</v>
      </c>
      <c r="B305" t="s">
        <v>15</v>
      </c>
      <c r="C305" t="s">
        <v>20</v>
      </c>
      <c r="D305">
        <v>20</v>
      </c>
      <c r="E305">
        <v>479.93</v>
      </c>
      <c r="F305" t="s">
        <v>11</v>
      </c>
    </row>
    <row r="306" spans="1:6" x14ac:dyDescent="0.25">
      <c r="A306" s="1">
        <v>44697</v>
      </c>
      <c r="B306" t="s">
        <v>21</v>
      </c>
      <c r="C306" t="s">
        <v>19</v>
      </c>
      <c r="D306">
        <v>6</v>
      </c>
      <c r="E306">
        <v>136.59</v>
      </c>
      <c r="F306" t="s">
        <v>14</v>
      </c>
    </row>
    <row r="307" spans="1:6" x14ac:dyDescent="0.25">
      <c r="A307" s="1">
        <v>44799</v>
      </c>
      <c r="B307" t="s">
        <v>17</v>
      </c>
      <c r="C307" t="s">
        <v>23</v>
      </c>
      <c r="D307">
        <v>2</v>
      </c>
      <c r="E307">
        <v>45.31</v>
      </c>
      <c r="F307" t="s">
        <v>16</v>
      </c>
    </row>
    <row r="308" spans="1:6" x14ac:dyDescent="0.25">
      <c r="A308" s="1">
        <v>44629</v>
      </c>
      <c r="B308" t="s">
        <v>9</v>
      </c>
      <c r="C308" t="s">
        <v>23</v>
      </c>
      <c r="D308">
        <v>11</v>
      </c>
      <c r="E308">
        <v>246.17</v>
      </c>
      <c r="F308" t="s">
        <v>11</v>
      </c>
    </row>
    <row r="309" spans="1:6" x14ac:dyDescent="0.25">
      <c r="A309" s="1">
        <v>44574</v>
      </c>
      <c r="B309" t="s">
        <v>15</v>
      </c>
      <c r="C309" t="s">
        <v>13</v>
      </c>
      <c r="D309">
        <v>15</v>
      </c>
      <c r="E309">
        <v>362.44</v>
      </c>
      <c r="F309" t="s">
        <v>11</v>
      </c>
    </row>
    <row r="310" spans="1:6" x14ac:dyDescent="0.25">
      <c r="A310" s="1">
        <v>44620</v>
      </c>
      <c r="B310" t="s">
        <v>15</v>
      </c>
      <c r="C310" t="s">
        <v>7</v>
      </c>
      <c r="D310">
        <v>7</v>
      </c>
      <c r="E310">
        <v>133.38</v>
      </c>
      <c r="F310" t="s">
        <v>14</v>
      </c>
    </row>
    <row r="311" spans="1:6" x14ac:dyDescent="0.25">
      <c r="A311" s="1">
        <v>44678</v>
      </c>
      <c r="B311" t="s">
        <v>17</v>
      </c>
      <c r="C311" t="s">
        <v>24</v>
      </c>
      <c r="D311">
        <v>1</v>
      </c>
      <c r="E311">
        <v>16.87</v>
      </c>
      <c r="F311" t="s">
        <v>11</v>
      </c>
    </row>
    <row r="312" spans="1:6" x14ac:dyDescent="0.25">
      <c r="A312" s="1">
        <v>44595</v>
      </c>
      <c r="B312" t="s">
        <v>18</v>
      </c>
      <c r="C312" t="s">
        <v>7</v>
      </c>
      <c r="D312">
        <v>15</v>
      </c>
      <c r="E312">
        <v>191.54</v>
      </c>
      <c r="F312" t="s">
        <v>11</v>
      </c>
    </row>
    <row r="313" spans="1:6" x14ac:dyDescent="0.25">
      <c r="A313" s="1">
        <v>44613</v>
      </c>
      <c r="B313" t="s">
        <v>9</v>
      </c>
      <c r="C313" t="s">
        <v>10</v>
      </c>
      <c r="D313">
        <v>2</v>
      </c>
      <c r="E313">
        <v>26.91</v>
      </c>
      <c r="F313" t="s">
        <v>22</v>
      </c>
    </row>
    <row r="314" spans="1:6" x14ac:dyDescent="0.25">
      <c r="A314" s="1">
        <v>44777</v>
      </c>
      <c r="B314" t="s">
        <v>15</v>
      </c>
      <c r="C314" t="s">
        <v>19</v>
      </c>
      <c r="D314">
        <v>3</v>
      </c>
      <c r="E314">
        <v>59.95</v>
      </c>
      <c r="F314" t="s">
        <v>14</v>
      </c>
    </row>
    <row r="315" spans="1:6" x14ac:dyDescent="0.25">
      <c r="A315" s="1">
        <v>44678</v>
      </c>
      <c r="B315" t="s">
        <v>17</v>
      </c>
      <c r="C315" t="s">
        <v>10</v>
      </c>
      <c r="D315">
        <v>14</v>
      </c>
      <c r="E315">
        <v>183.32</v>
      </c>
      <c r="F315" t="s">
        <v>22</v>
      </c>
    </row>
    <row r="316" spans="1:6" x14ac:dyDescent="0.25">
      <c r="A316" s="1">
        <v>44605</v>
      </c>
      <c r="B316" t="s">
        <v>18</v>
      </c>
      <c r="C316" t="s">
        <v>20</v>
      </c>
      <c r="D316">
        <v>15</v>
      </c>
      <c r="E316">
        <v>321.39999999999998</v>
      </c>
      <c r="F316" t="s">
        <v>14</v>
      </c>
    </row>
    <row r="317" spans="1:6" x14ac:dyDescent="0.25">
      <c r="A317" s="1">
        <v>44643</v>
      </c>
      <c r="B317" t="s">
        <v>17</v>
      </c>
      <c r="C317" t="s">
        <v>23</v>
      </c>
      <c r="D317">
        <v>2</v>
      </c>
      <c r="E317">
        <v>31.15</v>
      </c>
      <c r="F317" t="s">
        <v>16</v>
      </c>
    </row>
    <row r="318" spans="1:6" x14ac:dyDescent="0.25">
      <c r="A318" s="1">
        <v>44687</v>
      </c>
      <c r="B318" t="s">
        <v>18</v>
      </c>
      <c r="C318" t="s">
        <v>23</v>
      </c>
      <c r="D318">
        <v>8</v>
      </c>
      <c r="E318">
        <v>89.9</v>
      </c>
      <c r="F318" t="s">
        <v>22</v>
      </c>
    </row>
    <row r="319" spans="1:6" x14ac:dyDescent="0.25">
      <c r="A319" s="1">
        <v>44676</v>
      </c>
      <c r="B319" t="s">
        <v>9</v>
      </c>
      <c r="C319" t="s">
        <v>20</v>
      </c>
      <c r="D319">
        <v>5</v>
      </c>
      <c r="E319">
        <v>64.41</v>
      </c>
      <c r="F319" t="s">
        <v>16</v>
      </c>
    </row>
    <row r="320" spans="1:6" x14ac:dyDescent="0.25">
      <c r="A320" s="1">
        <v>44648</v>
      </c>
      <c r="B320" t="s">
        <v>9</v>
      </c>
      <c r="C320" t="s">
        <v>7</v>
      </c>
      <c r="D320">
        <v>20</v>
      </c>
      <c r="E320">
        <v>186.45</v>
      </c>
      <c r="F320" t="s">
        <v>8</v>
      </c>
    </row>
    <row r="321" spans="1:6" x14ac:dyDescent="0.25">
      <c r="A321" s="1">
        <v>44790</v>
      </c>
      <c r="B321" t="s">
        <v>18</v>
      </c>
      <c r="C321" t="s">
        <v>23</v>
      </c>
      <c r="D321">
        <v>19</v>
      </c>
      <c r="E321">
        <v>468.28</v>
      </c>
      <c r="F321" t="s">
        <v>8</v>
      </c>
    </row>
    <row r="322" spans="1:6" x14ac:dyDescent="0.25">
      <c r="A322" s="1">
        <v>44802</v>
      </c>
      <c r="B322" t="s">
        <v>6</v>
      </c>
      <c r="C322" t="s">
        <v>10</v>
      </c>
      <c r="D322">
        <v>9</v>
      </c>
      <c r="E322">
        <v>188.06</v>
      </c>
      <c r="F322" t="s">
        <v>16</v>
      </c>
    </row>
    <row r="323" spans="1:6" x14ac:dyDescent="0.25">
      <c r="A323" s="1">
        <v>44715</v>
      </c>
      <c r="B323" t="s">
        <v>9</v>
      </c>
      <c r="C323" t="s">
        <v>7</v>
      </c>
      <c r="D323">
        <v>4</v>
      </c>
      <c r="E323">
        <v>48.71</v>
      </c>
      <c r="F323" t="s">
        <v>11</v>
      </c>
    </row>
    <row r="324" spans="1:6" x14ac:dyDescent="0.25">
      <c r="A324" s="1">
        <v>44663</v>
      </c>
      <c r="B324" t="s">
        <v>17</v>
      </c>
      <c r="C324" t="s">
        <v>20</v>
      </c>
      <c r="D324">
        <v>18</v>
      </c>
      <c r="E324">
        <v>161.49</v>
      </c>
      <c r="F324" t="s">
        <v>8</v>
      </c>
    </row>
    <row r="325" spans="1:6" x14ac:dyDescent="0.25">
      <c r="A325" s="1">
        <v>44608</v>
      </c>
      <c r="B325" t="s">
        <v>9</v>
      </c>
      <c r="C325" t="s">
        <v>10</v>
      </c>
      <c r="D325">
        <v>5</v>
      </c>
      <c r="E325">
        <v>120.28</v>
      </c>
      <c r="F325" t="s">
        <v>16</v>
      </c>
    </row>
    <row r="326" spans="1:6" x14ac:dyDescent="0.25">
      <c r="A326" s="1">
        <v>44568</v>
      </c>
      <c r="B326" t="s">
        <v>9</v>
      </c>
      <c r="C326" t="s">
        <v>20</v>
      </c>
      <c r="D326">
        <v>8</v>
      </c>
      <c r="E326">
        <v>149.88999999999999</v>
      </c>
      <c r="F326" t="s">
        <v>11</v>
      </c>
    </row>
    <row r="327" spans="1:6" x14ac:dyDescent="0.25">
      <c r="A327" s="1">
        <v>44779</v>
      </c>
      <c r="B327" t="s">
        <v>18</v>
      </c>
      <c r="C327" t="s">
        <v>23</v>
      </c>
      <c r="D327">
        <v>9</v>
      </c>
      <c r="E327">
        <v>128.33000000000001</v>
      </c>
      <c r="F327" t="s">
        <v>8</v>
      </c>
    </row>
    <row r="328" spans="1:6" x14ac:dyDescent="0.25">
      <c r="A328" s="1">
        <v>44765</v>
      </c>
      <c r="B328" t="s">
        <v>9</v>
      </c>
      <c r="C328" t="s">
        <v>10</v>
      </c>
      <c r="D328">
        <v>4</v>
      </c>
      <c r="E328">
        <v>73.27</v>
      </c>
      <c r="F328" t="s">
        <v>16</v>
      </c>
    </row>
    <row r="329" spans="1:6" x14ac:dyDescent="0.25">
      <c r="A329" s="1">
        <v>44774</v>
      </c>
      <c r="B329" t="s">
        <v>15</v>
      </c>
      <c r="C329" t="s">
        <v>19</v>
      </c>
      <c r="D329">
        <v>5</v>
      </c>
      <c r="E329">
        <v>103.86</v>
      </c>
      <c r="F329" t="s">
        <v>22</v>
      </c>
    </row>
    <row r="330" spans="1:6" x14ac:dyDescent="0.25">
      <c r="A330" s="1">
        <v>44600</v>
      </c>
      <c r="B330" t="s">
        <v>15</v>
      </c>
      <c r="C330" t="s">
        <v>20</v>
      </c>
      <c r="D330">
        <v>15</v>
      </c>
      <c r="E330">
        <v>302.45999999999998</v>
      </c>
      <c r="F330" t="s">
        <v>14</v>
      </c>
    </row>
    <row r="331" spans="1:6" x14ac:dyDescent="0.25">
      <c r="A331" s="1">
        <v>44801</v>
      </c>
      <c r="B331" t="s">
        <v>21</v>
      </c>
      <c r="C331" t="s">
        <v>24</v>
      </c>
      <c r="D331">
        <v>3</v>
      </c>
      <c r="E331">
        <v>52.5</v>
      </c>
      <c r="F331" t="s">
        <v>22</v>
      </c>
    </row>
    <row r="332" spans="1:6" x14ac:dyDescent="0.25">
      <c r="A332" s="1">
        <v>44668</v>
      </c>
      <c r="B332" t="s">
        <v>18</v>
      </c>
      <c r="C332" t="s">
        <v>7</v>
      </c>
      <c r="D332">
        <v>5</v>
      </c>
      <c r="E332">
        <v>65.67</v>
      </c>
      <c r="F332" t="s">
        <v>14</v>
      </c>
    </row>
    <row r="333" spans="1:6" x14ac:dyDescent="0.25">
      <c r="A333" s="1">
        <v>44566</v>
      </c>
      <c r="B333" t="s">
        <v>17</v>
      </c>
      <c r="C333" t="s">
        <v>24</v>
      </c>
      <c r="D333">
        <v>17</v>
      </c>
      <c r="E333">
        <v>247.43</v>
      </c>
      <c r="F333" t="s">
        <v>16</v>
      </c>
    </row>
    <row r="334" spans="1:6" x14ac:dyDescent="0.25">
      <c r="A334" s="1">
        <v>44784</v>
      </c>
      <c r="B334" t="s">
        <v>15</v>
      </c>
      <c r="C334" t="s">
        <v>23</v>
      </c>
      <c r="D334">
        <v>3</v>
      </c>
      <c r="E334">
        <v>65.98</v>
      </c>
      <c r="F334" t="s">
        <v>14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334"/>
  <sheetViews>
    <sheetView workbookViewId="0"/>
  </sheetViews>
  <sheetFormatPr defaultRowHeight="15" x14ac:dyDescent="0.25"/>
  <cols>
    <col min="1" max="1" width="14.85546875" style="1" customWidth="1"/>
    <col min="2" max="2" width="19" style="14" customWidth="1"/>
    <col min="3" max="3" width="22.28515625" style="14" customWidth="1"/>
    <col min="4" max="4" width="18.140625" style="15" customWidth="1"/>
    <col min="5" max="5" width="15.28515625" style="16" customWidth="1"/>
    <col min="6" max="6" width="16.42578125" style="14" customWidth="1"/>
    <col min="7" max="7" width="16.42578125" customWidth="1"/>
    <col min="9" max="9" width="19.140625" customWidth="1"/>
    <col min="10" max="10" width="18.5703125" customWidth="1"/>
    <col min="12" max="12" width="11" customWidth="1"/>
    <col min="13" max="13" width="16.85546875" customWidth="1"/>
    <col min="14" max="14" width="6.42578125" customWidth="1"/>
    <col min="15" max="15" width="15.140625" customWidth="1"/>
    <col min="16" max="16" width="19.28515625" customWidth="1"/>
  </cols>
  <sheetData>
    <row r="1" spans="1:16" x14ac:dyDescent="0.25">
      <c r="A1" s="1" t="s">
        <v>223</v>
      </c>
      <c r="B1" s="14" t="s">
        <v>1</v>
      </c>
      <c r="C1" s="14" t="s">
        <v>2</v>
      </c>
      <c r="D1" s="15" t="s">
        <v>3</v>
      </c>
      <c r="E1" s="16" t="s">
        <v>4</v>
      </c>
      <c r="F1" s="14" t="s">
        <v>5</v>
      </c>
      <c r="G1" t="s">
        <v>34</v>
      </c>
      <c r="I1" t="s">
        <v>25</v>
      </c>
      <c r="J1" t="s">
        <v>27</v>
      </c>
      <c r="K1" t="s">
        <v>28</v>
      </c>
      <c r="L1" t="s">
        <v>29</v>
      </c>
      <c r="M1" t="s">
        <v>30</v>
      </c>
    </row>
    <row r="2" spans="1:16" x14ac:dyDescent="0.25">
      <c r="A2" s="1">
        <f>IF(Raw_data!A2="",NA(),Raw_data!A2)</f>
        <v>44598</v>
      </c>
      <c r="B2" s="14" t="str">
        <f>IF(Raw_data!B2="",NA(),Raw_data!B2)</f>
        <v>Pain Relief Tablets</v>
      </c>
      <c r="C2" s="14" t="str">
        <f>IF(Raw_data!C2="",NA(),Raw_data!C2)</f>
        <v>Divya Mehra</v>
      </c>
      <c r="D2" s="15">
        <f>IF(Raw_data!D2="",NA(),Raw_data!D2)</f>
        <v>7</v>
      </c>
      <c r="E2" s="16">
        <f>IF(Raw_data!E2="",NA(),Raw_data!E2)</f>
        <v>67.430000000000007</v>
      </c>
      <c r="F2" s="14" t="str">
        <f>IF(Raw_data!F2="",NA(),Raw_data!F2)</f>
        <v>Australia</v>
      </c>
      <c r="G2">
        <f t="shared" ref="G2:G65" si="0">COUNTIFS(A:A,A2,B:B,B2,C:C,C2,D:D,D2,E:E,E2,F:F,F2)</f>
        <v>1</v>
      </c>
      <c r="I2" t="s">
        <v>0</v>
      </c>
      <c r="J2" cm="1">
        <f t="array" ref="J2">SUM(IF(ISERROR(A2:A334),1,0))</f>
        <v>0</v>
      </c>
    </row>
    <row r="3" spans="1:16" x14ac:dyDescent="0.25">
      <c r="A3" s="1">
        <f>IF(Raw_data!A3="",NA(),Raw_data!A3)</f>
        <v>44597</v>
      </c>
      <c r="B3" s="14" t="str">
        <f>IF(Raw_data!B3="",NA(),Raw_data!B3)</f>
        <v>Antiseptic Cream</v>
      </c>
      <c r="C3" s="14" t="str">
        <f>IF(Raw_data!C3="",NA(),Raw_data!C3)</f>
        <v>Nikhil Batra</v>
      </c>
      <c r="D3" s="15">
        <f>IF(Raw_data!D3="",NA(),Raw_data!D3)</f>
        <v>18</v>
      </c>
      <c r="E3" s="16">
        <f>IF(Raw_data!E3="",NA(),Raw_data!E3)</f>
        <v>421.46</v>
      </c>
      <c r="F3" s="14" t="str">
        <f>IF(Raw_data!F3="",NA(),Raw_data!F3)</f>
        <v>Canada</v>
      </c>
      <c r="G3">
        <f t="shared" si="0"/>
        <v>1</v>
      </c>
      <c r="I3" t="s">
        <v>1</v>
      </c>
      <c r="J3" cm="1">
        <f t="array" ref="J3">SUM(IF(ISERROR(B2:$B$334),1,0))</f>
        <v>0</v>
      </c>
      <c r="M3" t="s">
        <v>9</v>
      </c>
    </row>
    <row r="4" spans="1:16" x14ac:dyDescent="0.25">
      <c r="A4" s="1">
        <f>IF(Raw_data!A4="",NA(),Raw_data!A4)</f>
        <v>44611</v>
      </c>
      <c r="B4" s="14" t="str">
        <f>IF(Raw_data!B4="",NA(),Raw_data!B4)</f>
        <v>Cough Syrup</v>
      </c>
      <c r="C4" s="14" t="str">
        <f>IF(Raw_data!C4="",NA(),Raw_data!C4)</f>
        <v>Ritika Shah</v>
      </c>
      <c r="D4" s="15">
        <f>IF(Raw_data!D4="",NA(),Raw_data!D4)</f>
        <v>2</v>
      </c>
      <c r="E4" s="16">
        <f>IF(Raw_data!E4="",NA(),Raw_data!E4)</f>
        <v>48.25</v>
      </c>
      <c r="F4" s="14" t="str">
        <f>IF(Raw_data!F4="",NA(),Raw_data!F4)</f>
        <v>UK</v>
      </c>
      <c r="G4">
        <f t="shared" si="0"/>
        <v>1</v>
      </c>
      <c r="I4" t="s">
        <v>2</v>
      </c>
      <c r="J4" cm="1">
        <f t="array" ref="J4">SUM(IF(ISERROR(C2:$C$334),1,0))</f>
        <v>0</v>
      </c>
      <c r="M4" t="s">
        <v>23</v>
      </c>
    </row>
    <row r="5" spans="1:16" x14ac:dyDescent="0.25">
      <c r="A5" s="1">
        <f>IF(Raw_data!A5="",NA(),Raw_data!A5)</f>
        <v>44648</v>
      </c>
      <c r="B5" s="14" t="str">
        <f>IF(Raw_data!B5="",NA(),Raw_data!B5)</f>
        <v>Pain Relief Tablets</v>
      </c>
      <c r="C5" s="14" t="str">
        <f>IF(Raw_data!C5="",NA(),Raw_data!C5)</f>
        <v>Nikhil Batra</v>
      </c>
      <c r="D5" s="15">
        <f>IF(Raw_data!D5="",NA(),Raw_data!D5)</f>
        <v>5</v>
      </c>
      <c r="E5" s="16">
        <f>IF(Raw_data!E5="",NA(),Raw_data!E5)</f>
        <v>59.89</v>
      </c>
      <c r="F5" s="14" t="str">
        <f>IF(Raw_data!F5="",NA(),Raw_data!F5)</f>
        <v>UK</v>
      </c>
      <c r="G5">
        <f t="shared" si="0"/>
        <v>1</v>
      </c>
      <c r="I5" t="s">
        <v>3</v>
      </c>
      <c r="J5" cm="1">
        <f t="array" ref="J5">SUM(IF(ISERROR(D1:$D$334),1,0))</f>
        <v>0</v>
      </c>
      <c r="K5">
        <f>ROUND(_xlfn.AGGREGATE(1,6,D2:$D$334),2)</f>
        <v>10.47</v>
      </c>
      <c r="L5">
        <f>ROUND(_xlfn.AGGREGATE(12,6,D2:$D$334),2)</f>
        <v>11</v>
      </c>
    </row>
    <row r="6" spans="1:16" x14ac:dyDescent="0.25">
      <c r="A6" s="1">
        <f>IF(Raw_data!A6="",NA(),Raw_data!A6)</f>
        <v>44578</v>
      </c>
      <c r="B6" s="14" t="str">
        <f>IF(Raw_data!B6="",NA(),Raw_data!B6)</f>
        <v>Digestive Enzyme</v>
      </c>
      <c r="C6" s="14" t="str">
        <f>IF(Raw_data!C6="",NA(),Raw_data!C6)</f>
        <v>Ritika Shah</v>
      </c>
      <c r="D6" s="15">
        <f>IF(Raw_data!D6="",NA(),Raw_data!D6)</f>
        <v>8</v>
      </c>
      <c r="E6" s="16">
        <f>IF(Raw_data!E6="",NA(),Raw_data!E6)</f>
        <v>147.72999999999999</v>
      </c>
      <c r="F6" s="14" t="str">
        <f>IF(Raw_data!F6="",NA(),Raw_data!F6)</f>
        <v>USA</v>
      </c>
      <c r="G6">
        <f t="shared" si="0"/>
        <v>1</v>
      </c>
      <c r="I6" t="s">
        <v>26</v>
      </c>
      <c r="J6" cm="1">
        <f t="array" ref="J6">SUM(IF(ISERROR(E2:E334),1,0))</f>
        <v>0</v>
      </c>
      <c r="K6">
        <f>ROUND(_xlfn.AGGREGATE(1,6,E2:$E$334),2)</f>
        <v>176.96</v>
      </c>
      <c r="L6">
        <f>ROUND(_xlfn.AGGREGATE(12,6,E2:$E$334),2)</f>
        <v>156.91999999999999</v>
      </c>
    </row>
    <row r="7" spans="1:16" x14ac:dyDescent="0.25">
      <c r="A7" s="1">
        <f>IF(Raw_data!A7="",NA(),Raw_data!A7)</f>
        <v>44601</v>
      </c>
      <c r="B7" s="14" t="str">
        <f>IF(Raw_data!B7="",NA(),Raw_data!B7)</f>
        <v>Digestive Enzyme</v>
      </c>
      <c r="C7" s="14" t="str">
        <f>IF(Raw_data!C7="",NA(),Raw_data!C7)</f>
        <v>Ritika Shah</v>
      </c>
      <c r="D7" s="15">
        <f>IF(Raw_data!D7="",NA(),Raw_data!D7)</f>
        <v>18</v>
      </c>
      <c r="E7" s="16">
        <f>IF(Raw_data!E7="",NA(),Raw_data!E7)</f>
        <v>400.87</v>
      </c>
      <c r="F7" s="14" t="str">
        <f>IF(Raw_data!F7="",NA(),Raw_data!F7)</f>
        <v>USA</v>
      </c>
      <c r="G7">
        <f t="shared" si="0"/>
        <v>1</v>
      </c>
      <c r="I7" t="s">
        <v>5</v>
      </c>
      <c r="J7" cm="1">
        <f t="array" ref="J7">SUM(IF(ISERROR(F2:F334),1,0))</f>
        <v>0</v>
      </c>
      <c r="M7" t="s">
        <v>16</v>
      </c>
    </row>
    <row r="8" spans="1:16" x14ac:dyDescent="0.25">
      <c r="A8" s="1">
        <f>IF(Raw_data!A8="",NA(),Raw_data!A8)</f>
        <v>44742</v>
      </c>
      <c r="B8" s="14" t="str">
        <f>IF(Raw_data!B8="",NA(),Raw_data!B8)</f>
        <v>Antiseptic Cream</v>
      </c>
      <c r="C8" s="14" t="str">
        <f>IF(Raw_data!C8="",NA(),Raw_data!C8)</f>
        <v>Nikhil Batra</v>
      </c>
      <c r="D8" s="15">
        <f>IF(Raw_data!D8="",NA(),Raw_data!D8)</f>
        <v>3</v>
      </c>
      <c r="E8" s="16">
        <f>IF(Raw_data!E8="",NA(),Raw_data!E8)</f>
        <v>50.35</v>
      </c>
      <c r="F8" s="14" t="str">
        <f>IF(Raw_data!F8="",NA(),Raw_data!F8)</f>
        <v>Australia</v>
      </c>
      <c r="G8">
        <f t="shared" si="0"/>
        <v>1</v>
      </c>
    </row>
    <row r="9" spans="1:16" x14ac:dyDescent="0.25">
      <c r="A9" s="1">
        <f>IF(Raw_data!A9="",NA(),Raw_data!A9)</f>
        <v>44767</v>
      </c>
      <c r="B9" s="14" t="str">
        <f>IF(Raw_data!B9="",NA(),Raw_data!B9)</f>
        <v>Eye Drops</v>
      </c>
      <c r="C9" s="14" t="str">
        <f>IF(Raw_data!C9="",NA(),Raw_data!C9)</f>
        <v>Ritika Shah</v>
      </c>
      <c r="D9" s="15">
        <f>IF(Raw_data!D9="",NA(),Raw_data!D9)</f>
        <v>13</v>
      </c>
      <c r="E9" s="16">
        <f>IF(Raw_data!E9="",NA(),Raw_data!E9)</f>
        <v>282.43</v>
      </c>
      <c r="F9" s="14" t="str">
        <f>IF(Raw_data!F9="",NA(),Raw_data!F9)</f>
        <v>USA</v>
      </c>
      <c r="G9">
        <f t="shared" si="0"/>
        <v>1</v>
      </c>
      <c r="I9" s="2" t="s">
        <v>1</v>
      </c>
      <c r="J9" s="19" t="s">
        <v>32</v>
      </c>
      <c r="L9" s="4" t="s">
        <v>5</v>
      </c>
      <c r="M9" s="12" t="s">
        <v>32</v>
      </c>
      <c r="O9" s="7" t="s">
        <v>2</v>
      </c>
      <c r="P9" s="8" t="s">
        <v>33</v>
      </c>
    </row>
    <row r="10" spans="1:16" x14ac:dyDescent="0.25">
      <c r="A10" s="1">
        <f>IF(Raw_data!A10="",NA(),Raw_data!A10)</f>
        <v>44640</v>
      </c>
      <c r="B10" s="14" t="str">
        <f>IF(Raw_data!B10="",NA(),Raw_data!B10)</f>
        <v>Nasal Spray</v>
      </c>
      <c r="C10" s="14" t="str">
        <f>IF(Raw_data!C10="",NA(),Raw_data!C10)</f>
        <v>Priya Singh</v>
      </c>
      <c r="D10" s="15">
        <f>IF(Raw_data!D10="",NA(),Raw_data!D10)</f>
        <v>17</v>
      </c>
      <c r="E10" s="16">
        <f>IF(Raw_data!E10="",NA(),Raw_data!E10)</f>
        <v>394.01</v>
      </c>
      <c r="F10" s="14" t="str">
        <f>IF(Raw_data!F10="",NA(),Raw_data!F10)</f>
        <v>UK</v>
      </c>
      <c r="G10">
        <f t="shared" si="0"/>
        <v>1</v>
      </c>
      <c r="I10" s="20" t="str" cm="1">
        <f t="array" ref="I10:I16">_xlfn.UNIQUE(B2:$B$334)</f>
        <v>Pain Relief Tablets</v>
      </c>
      <c r="J10" s="21">
        <f>COUNTIF(B2:$B$334,I10)</f>
        <v>39</v>
      </c>
      <c r="L10" s="17" t="str" cm="1">
        <f t="array" ref="L10:L14">_xlfn.UNIQUE(F2:$F$334)</f>
        <v>Australia</v>
      </c>
      <c r="M10" s="18">
        <f>COUNTIF(F2:$F$334,L10)</f>
        <v>53</v>
      </c>
      <c r="O10" s="9" t="str" cm="1">
        <f t="array" ref="O10:O16">_xlfn.UNIQUE(C2:$C$334)</f>
        <v>Divya Mehra</v>
      </c>
      <c r="P10" s="10">
        <f>COUNTIF(C2:$C$334,O10)</f>
        <v>48</v>
      </c>
    </row>
    <row r="11" spans="1:16" x14ac:dyDescent="0.25">
      <c r="A11" s="1">
        <f>IF(Raw_data!A11="",NA(),Raw_data!A11)</f>
        <v>44585</v>
      </c>
      <c r="B11" s="14" t="str">
        <f>IF(Raw_data!B11="",NA(),Raw_data!B11)</f>
        <v>Antiseptic Cream</v>
      </c>
      <c r="C11" s="14" t="str">
        <f>IF(Raw_data!C11="",NA(),Raw_data!C11)</f>
        <v>Sneha Iyer</v>
      </c>
      <c r="D11" s="15">
        <f>IF(Raw_data!D11="",NA(),Raw_data!D11)</f>
        <v>7</v>
      </c>
      <c r="E11" s="16">
        <f>IF(Raw_data!E11="",NA(),Raw_data!E11)</f>
        <v>89.29</v>
      </c>
      <c r="F11" s="14" t="str">
        <f>IF(Raw_data!F11="",NA(),Raw_data!F11)</f>
        <v>Australia</v>
      </c>
      <c r="G11">
        <f t="shared" si="0"/>
        <v>1</v>
      </c>
      <c r="I11" s="3" t="str">
        <v>Antiseptic Cream</v>
      </c>
      <c r="J11" s="22">
        <f>COUNTIF(B3:$B$334,I11)</f>
        <v>56</v>
      </c>
      <c r="L11" s="5" t="str">
        <v>Canada</v>
      </c>
      <c r="M11" s="13">
        <f>COUNTIF(F3:$F$334,L11)</f>
        <v>65</v>
      </c>
      <c r="O11" s="11" t="str">
        <v>Nikhil Batra</v>
      </c>
      <c r="P11" s="6">
        <f>COUNTIF(C3:$C$334,O11)</f>
        <v>52</v>
      </c>
    </row>
    <row r="12" spans="1:16" x14ac:dyDescent="0.25">
      <c r="A12" s="1">
        <f>IF(Raw_data!A12="",NA(),Raw_data!A12)</f>
        <v>44678</v>
      </c>
      <c r="B12" s="14" t="str">
        <f>IF(Raw_data!B12="",NA(),Raw_data!B12)</f>
        <v>Cough Syrup</v>
      </c>
      <c r="C12" s="14" t="str">
        <f>IF(Raw_data!C12="",NA(),Raw_data!C12)</f>
        <v>Divya Mehra</v>
      </c>
      <c r="D12" s="15">
        <f>IF(Raw_data!D12="",NA(),Raw_data!D12)</f>
        <v>11</v>
      </c>
      <c r="E12" s="16">
        <f>IF(Raw_data!E12="",NA(),Raw_data!E12)</f>
        <v>150.72999999999999</v>
      </c>
      <c r="F12" s="14" t="str">
        <f>IF(Raw_data!F12="",NA(),Raw_data!F12)</f>
        <v>Canada</v>
      </c>
      <c r="G12">
        <f t="shared" si="0"/>
        <v>1</v>
      </c>
      <c r="I12" s="20" t="str">
        <v>Cough Syrup</v>
      </c>
      <c r="J12" s="21">
        <f>COUNTIF(B4:$B$334,I12)</f>
        <v>41</v>
      </c>
      <c r="L12" s="17" t="str">
        <v>UK</v>
      </c>
      <c r="M12" s="18">
        <f>COUNTIF(F4:$F$334,L12)</f>
        <v>74</v>
      </c>
      <c r="O12" s="9" t="str">
        <v>Ritika Shah</v>
      </c>
      <c r="P12" s="10">
        <f>COUNTIF(C4:$C$334,O12)</f>
        <v>44</v>
      </c>
    </row>
    <row r="13" spans="1:16" x14ac:dyDescent="0.25">
      <c r="A13" s="1">
        <f>IF(Raw_data!A13="",NA(),Raw_data!A13)</f>
        <v>44610</v>
      </c>
      <c r="B13" s="14" t="str">
        <f>IF(Raw_data!B13="",NA(),Raw_data!B13)</f>
        <v>Pain Relief Tablets</v>
      </c>
      <c r="C13" s="14" t="str">
        <f>IF(Raw_data!C13="",NA(),Raw_data!C13)</f>
        <v>Ritika Shah</v>
      </c>
      <c r="D13" s="15">
        <f>IF(Raw_data!D13="",NA(),Raw_data!D13)</f>
        <v>5</v>
      </c>
      <c r="E13" s="16">
        <f>IF(Raw_data!E13="",NA(),Raw_data!E13)</f>
        <v>63.41</v>
      </c>
      <c r="F13" s="14" t="str">
        <f>IF(Raw_data!F13="",NA(),Raw_data!F13)</f>
        <v>USA</v>
      </c>
      <c r="G13">
        <f t="shared" si="0"/>
        <v>1</v>
      </c>
      <c r="I13" s="3" t="str">
        <v>Digestive Enzyme</v>
      </c>
      <c r="J13" s="22">
        <f>COUNTIF(B5:$B$334,I13)</f>
        <v>51</v>
      </c>
      <c r="L13" s="5" t="str">
        <v>USA</v>
      </c>
      <c r="M13" s="13">
        <f>COUNTIF(F5:$F$334,L13)</f>
        <v>77</v>
      </c>
      <c r="O13" s="11" t="str">
        <v>Priya Singh</v>
      </c>
      <c r="P13" s="6">
        <f>COUNTIF(C5:$C$334,O13)</f>
        <v>54</v>
      </c>
    </row>
    <row r="14" spans="1:16" x14ac:dyDescent="0.25">
      <c r="A14" s="1">
        <f>IF(Raw_data!A14="",NA(),Raw_data!A14)</f>
        <v>44738</v>
      </c>
      <c r="B14" s="14" t="str">
        <f>IF(Raw_data!B14="",NA(),Raw_data!B14)</f>
        <v>Pain Relief Tablets</v>
      </c>
      <c r="C14" s="14" t="str">
        <f>IF(Raw_data!C14="",NA(),Raw_data!C14)</f>
        <v>Divya Mehra</v>
      </c>
      <c r="D14" s="15">
        <f>IF(Raw_data!D14="",NA(),Raw_data!D14)</f>
        <v>18</v>
      </c>
      <c r="E14" s="16">
        <f>IF(Raw_data!E14="",NA(),Raw_data!E14)</f>
        <v>175.89</v>
      </c>
      <c r="F14" s="14" t="str">
        <f>IF(Raw_data!F14="",NA(),Raw_data!F14)</f>
        <v>USA</v>
      </c>
      <c r="G14">
        <f t="shared" si="0"/>
        <v>1</v>
      </c>
      <c r="I14" s="20" t="str">
        <v>Eye Drops</v>
      </c>
      <c r="J14" s="21">
        <f>COUNTIF(B6:$B$334,I14)</f>
        <v>49</v>
      </c>
      <c r="L14" s="17" t="str">
        <v>India</v>
      </c>
      <c r="M14" s="18">
        <f>COUNTIF(F6:$F$334,L14)</f>
        <v>64</v>
      </c>
      <c r="O14" s="9" t="str">
        <v>Sneha Iyer</v>
      </c>
      <c r="P14" s="10">
        <f>COUNTIF(C6:$C$334,O14)</f>
        <v>35</v>
      </c>
    </row>
    <row r="15" spans="1:16" x14ac:dyDescent="0.25">
      <c r="A15" s="1">
        <f>IF(Raw_data!A15="",NA(),Raw_data!A15)</f>
        <v>44731</v>
      </c>
      <c r="B15" s="14" t="str">
        <f>IF(Raw_data!B15="",NA(),Raw_data!B15)</f>
        <v>Nasal Spray</v>
      </c>
      <c r="C15" s="14" t="str">
        <f>IF(Raw_data!C15="",NA(),Raw_data!C15)</f>
        <v>Priya Singh</v>
      </c>
      <c r="D15" s="15">
        <f>IF(Raw_data!D15="",NA(),Raw_data!D15)</f>
        <v>18</v>
      </c>
      <c r="E15" s="16">
        <f>IF(Raw_data!E15="",NA(),Raw_data!E15)</f>
        <v>296.97000000000003</v>
      </c>
      <c r="F15" s="14" t="str">
        <f>IF(Raw_data!F15="",NA(),Raw_data!F15)</f>
        <v>Australia</v>
      </c>
      <c r="G15">
        <f t="shared" si="0"/>
        <v>1</v>
      </c>
      <c r="I15" s="3" t="str">
        <v>Nasal Spray</v>
      </c>
      <c r="J15" s="22">
        <f>COUNTIF(B7:$B$334,I15)</f>
        <v>47</v>
      </c>
      <c r="L15" s="5"/>
      <c r="M15" s="13"/>
      <c r="O15" s="11" t="str">
        <v>Rajesh Patel</v>
      </c>
      <c r="P15" s="6">
        <f>COUNTIF(C7:$C$334,O15)</f>
        <v>55</v>
      </c>
    </row>
    <row r="16" spans="1:16" x14ac:dyDescent="0.25">
      <c r="A16" s="1">
        <f>IF(Raw_data!A16="",NA(),Raw_data!A16)</f>
        <v>44715</v>
      </c>
      <c r="B16" s="14" t="str">
        <f>IF(Raw_data!B16="",NA(),Raw_data!B16)</f>
        <v>Cough Syrup</v>
      </c>
      <c r="C16" s="14" t="str">
        <f>IF(Raw_data!C16="",NA(),Raw_data!C16)</f>
        <v>Ritika Shah</v>
      </c>
      <c r="D16" s="15">
        <f>IF(Raw_data!D16="",NA(),Raw_data!D16)</f>
        <v>12</v>
      </c>
      <c r="E16" s="16">
        <f>IF(Raw_data!E16="",NA(),Raw_data!E16)</f>
        <v>177.75</v>
      </c>
      <c r="F16" s="14" t="str">
        <f>IF(Raw_data!F16="",NA(),Raw_data!F16)</f>
        <v>USA</v>
      </c>
      <c r="G16">
        <f t="shared" si="0"/>
        <v>1</v>
      </c>
      <c r="I16" s="23" t="str">
        <v>Allergy Pills</v>
      </c>
      <c r="J16" s="24">
        <f>COUNTIF(B8:$B$334,I16)</f>
        <v>50</v>
      </c>
      <c r="L16" s="17"/>
      <c r="M16" s="18"/>
      <c r="O16" s="9" t="str">
        <v>Aman Verma</v>
      </c>
      <c r="P16" s="10">
        <f>COUNTIF(C8:$C$334,O16)</f>
        <v>45</v>
      </c>
    </row>
    <row r="17" spans="1:10" x14ac:dyDescent="0.25">
      <c r="A17" s="1">
        <f>IF(Raw_data!A17="",NA(),Raw_data!A17)</f>
        <v>44656</v>
      </c>
      <c r="B17" s="14" t="str">
        <f>IF(Raw_data!B17="",NA(),Raw_data!B17)</f>
        <v>Cough Syrup</v>
      </c>
      <c r="C17" s="14" t="str">
        <f>IF(Raw_data!C17="",NA(),Raw_data!C17)</f>
        <v>Nikhil Batra</v>
      </c>
      <c r="D17" s="15">
        <f>IF(Raw_data!D17="",NA(),Raw_data!D17)</f>
        <v>14</v>
      </c>
      <c r="E17" s="16">
        <f>IF(Raw_data!E17="",NA(),Raw_data!E17)</f>
        <v>285.08999999999997</v>
      </c>
      <c r="F17" s="14" t="str">
        <f>IF(Raw_data!F17="",NA(),Raw_data!F17)</f>
        <v>Canada</v>
      </c>
      <c r="G17">
        <f t="shared" si="0"/>
        <v>1</v>
      </c>
    </row>
    <row r="18" spans="1:10" x14ac:dyDescent="0.25">
      <c r="A18" s="1">
        <f>IF(Raw_data!A18="",NA(),Raw_data!A18)</f>
        <v>44668</v>
      </c>
      <c r="B18" s="14" t="str">
        <f>IF(Raw_data!B18="",NA(),Raw_data!B18)</f>
        <v>Pain Relief Tablets</v>
      </c>
      <c r="C18" s="14" t="str">
        <f>IF(Raw_data!C18="",NA(),Raw_data!C18)</f>
        <v>Ritika Shah</v>
      </c>
      <c r="D18" s="15">
        <f>IF(Raw_data!D18="",NA(),Raw_data!D18)</f>
        <v>12</v>
      </c>
      <c r="E18" s="16">
        <f>IF(Raw_data!E18="",NA(),Raw_data!E18)</f>
        <v>277.22000000000003</v>
      </c>
      <c r="F18" s="14" t="str">
        <f>IF(Raw_data!F18="",NA(),Raw_data!F18)</f>
        <v>Australia</v>
      </c>
      <c r="G18">
        <f t="shared" si="0"/>
        <v>1</v>
      </c>
      <c r="I18" s="27" t="s">
        <v>31</v>
      </c>
      <c r="J18" s="28" t="s">
        <v>268</v>
      </c>
    </row>
    <row r="19" spans="1:10" x14ac:dyDescent="0.25">
      <c r="A19" s="1">
        <f>IF(Raw_data!A19="",NA(),Raw_data!A19)</f>
        <v>44603</v>
      </c>
      <c r="B19" s="14" t="str">
        <f>IF(Raw_data!B19="",NA(),Raw_data!B19)</f>
        <v>Nasal Spray</v>
      </c>
      <c r="C19" s="14" t="str">
        <f>IF(Raw_data!C19="",NA(),Raw_data!C19)</f>
        <v>Priya Singh</v>
      </c>
      <c r="D19" s="15">
        <f>IF(Raw_data!D19="",NA(),Raw_data!D19)</f>
        <v>17</v>
      </c>
      <c r="E19" s="16">
        <f>IF(Raw_data!E19="",NA(),Raw_data!E19)</f>
        <v>175.18</v>
      </c>
      <c r="F19" s="14" t="str">
        <f>IF(Raw_data!F19="",NA(),Raw_data!F19)</f>
        <v>Canada</v>
      </c>
      <c r="G19">
        <f t="shared" si="0"/>
        <v>1</v>
      </c>
      <c r="I19" s="27" t="s">
        <v>15</v>
      </c>
      <c r="J19" s="28">
        <v>216.79627450980394</v>
      </c>
    </row>
    <row r="20" spans="1:10" x14ac:dyDescent="0.25">
      <c r="A20" s="1">
        <f>IF(Raw_data!A20="",NA(),Raw_data!A20)</f>
        <v>44579</v>
      </c>
      <c r="B20" s="14" t="str">
        <f>IF(Raw_data!B20="",NA(),Raw_data!B20)</f>
        <v>Antiseptic Cream</v>
      </c>
      <c r="C20" s="14" t="str">
        <f>IF(Raw_data!C20="",NA(),Raw_data!C20)</f>
        <v>Ritika Shah</v>
      </c>
      <c r="D20" s="15">
        <f>IF(Raw_data!D20="",NA(),Raw_data!D20)</f>
        <v>12</v>
      </c>
      <c r="E20" s="16">
        <f>IF(Raw_data!E20="",NA(),Raw_data!E20)</f>
        <v>192.16</v>
      </c>
      <c r="F20" s="14" t="str">
        <f>IF(Raw_data!F20="",NA(),Raw_data!F20)</f>
        <v>Australia</v>
      </c>
      <c r="G20">
        <f t="shared" si="0"/>
        <v>1</v>
      </c>
      <c r="I20" s="27" t="s">
        <v>12</v>
      </c>
      <c r="J20" s="28">
        <v>193.09780487804881</v>
      </c>
    </row>
    <row r="21" spans="1:10" x14ac:dyDescent="0.25">
      <c r="A21" s="1">
        <f>IF(Raw_data!A21="",NA(),Raw_data!A21)</f>
        <v>44711</v>
      </c>
      <c r="B21" s="14" t="str">
        <f>IF(Raw_data!B21="",NA(),Raw_data!B21)</f>
        <v>Allergy Pills</v>
      </c>
      <c r="C21" s="14" t="str">
        <f>IF(Raw_data!C21="",NA(),Raw_data!C21)</f>
        <v>Nikhil Batra</v>
      </c>
      <c r="D21" s="15">
        <f>IF(Raw_data!D21="",NA(),Raw_data!D21)</f>
        <v>9</v>
      </c>
      <c r="E21" s="16">
        <f>IF(Raw_data!E21="",NA(),Raw_data!E21)</f>
        <v>123.12</v>
      </c>
      <c r="F21" s="14" t="str">
        <f>IF(Raw_data!F21="",NA(),Raw_data!F21)</f>
        <v>India</v>
      </c>
      <c r="G21">
        <f t="shared" si="0"/>
        <v>1</v>
      </c>
      <c r="I21" s="27" t="s">
        <v>18</v>
      </c>
      <c r="J21" s="28">
        <v>178.87999999999997</v>
      </c>
    </row>
    <row r="22" spans="1:10" x14ac:dyDescent="0.25">
      <c r="A22" s="1">
        <f>IF(Raw_data!A22="",NA(),Raw_data!A22)</f>
        <v>44730</v>
      </c>
      <c r="B22" s="14" t="str">
        <f>IF(Raw_data!B22="",NA(),Raw_data!B22)</f>
        <v>Pain Relief Tablets</v>
      </c>
      <c r="C22" s="14" t="str">
        <f>IF(Raw_data!C22="",NA(),Raw_data!C22)</f>
        <v>Divya Mehra</v>
      </c>
      <c r="D22" s="15">
        <f>IF(Raw_data!D22="",NA(),Raw_data!D22)</f>
        <v>15</v>
      </c>
      <c r="E22" s="16">
        <f>IF(Raw_data!E22="",NA(),Raw_data!E22)</f>
        <v>238.86</v>
      </c>
      <c r="F22" s="14" t="str">
        <f>IF(Raw_data!F22="",NA(),Raw_data!F22)</f>
        <v>Australia</v>
      </c>
      <c r="G22">
        <f t="shared" si="0"/>
        <v>1</v>
      </c>
      <c r="I22" s="27" t="s">
        <v>9</v>
      </c>
      <c r="J22" s="28">
        <v>173.86214285714286</v>
      </c>
    </row>
    <row r="23" spans="1:10" x14ac:dyDescent="0.25">
      <c r="A23" s="1">
        <f>IF(Raw_data!A23="",NA(),Raw_data!A23)</f>
        <v>44748</v>
      </c>
      <c r="B23" s="14" t="str">
        <f>IF(Raw_data!B23="",NA(),Raw_data!B23)</f>
        <v>Eye Drops</v>
      </c>
      <c r="C23" s="14" t="str">
        <f>IF(Raw_data!C23="",NA(),Raw_data!C23)</f>
        <v>Sneha Iyer</v>
      </c>
      <c r="D23" s="15">
        <f>IF(Raw_data!D23="",NA(),Raw_data!D23)</f>
        <v>20</v>
      </c>
      <c r="E23" s="16">
        <f>IF(Raw_data!E23="",NA(),Raw_data!E23)</f>
        <v>272.37</v>
      </c>
      <c r="F23" s="14" t="str">
        <f>IF(Raw_data!F23="",NA(),Raw_data!F23)</f>
        <v>UK</v>
      </c>
      <c r="G23">
        <f t="shared" si="0"/>
        <v>1</v>
      </c>
      <c r="I23" s="27" t="s">
        <v>17</v>
      </c>
      <c r="J23" s="28">
        <v>164.00734693877553</v>
      </c>
    </row>
    <row r="24" spans="1:10" x14ac:dyDescent="0.25">
      <c r="A24" s="1">
        <f>IF(Raw_data!A24="",NA(),Raw_data!A24)</f>
        <v>44706</v>
      </c>
      <c r="B24" s="14" t="str">
        <f>IF(Raw_data!B24="",NA(),Raw_data!B24)</f>
        <v>Allergy Pills</v>
      </c>
      <c r="C24" s="14" t="str">
        <f>IF(Raw_data!C24="",NA(),Raw_data!C24)</f>
        <v>Rajesh Patel</v>
      </c>
      <c r="D24" s="15">
        <f>IF(Raw_data!D24="",NA(),Raw_data!D24)</f>
        <v>8</v>
      </c>
      <c r="E24" s="16">
        <f>IF(Raw_data!E24="",NA(),Raw_data!E24)</f>
        <v>82.86</v>
      </c>
      <c r="F24" s="14" t="str">
        <f>IF(Raw_data!F24="",NA(),Raw_data!F24)</f>
        <v>USA</v>
      </c>
      <c r="G24">
        <f t="shared" si="0"/>
        <v>1</v>
      </c>
      <c r="I24" s="27" t="s">
        <v>21</v>
      </c>
      <c r="J24" s="28">
        <v>155.65159999999995</v>
      </c>
    </row>
    <row r="25" spans="1:10" x14ac:dyDescent="0.25">
      <c r="A25" s="1">
        <f>IF(Raw_data!A25="",NA(),Raw_data!A25)</f>
        <v>44677</v>
      </c>
      <c r="B25" s="14" t="str">
        <f>IF(Raw_data!B25="",NA(),Raw_data!B25)</f>
        <v>Eye Drops</v>
      </c>
      <c r="C25" s="14" t="str">
        <f>IF(Raw_data!C25="",NA(),Raw_data!C25)</f>
        <v>Aman Verma</v>
      </c>
      <c r="D25" s="15">
        <f>IF(Raw_data!D25="",NA(),Raw_data!D25)</f>
        <v>19</v>
      </c>
      <c r="E25" s="16">
        <f>IF(Raw_data!E25="",NA(),Raw_data!E25)</f>
        <v>447.21</v>
      </c>
      <c r="F25" s="14" t="str">
        <f>IF(Raw_data!F25="",NA(),Raw_data!F25)</f>
        <v>India</v>
      </c>
      <c r="G25">
        <f t="shared" si="0"/>
        <v>1</v>
      </c>
      <c r="I25" s="27" t="s">
        <v>6</v>
      </c>
      <c r="J25" s="28">
        <v>153.6689743589744</v>
      </c>
    </row>
    <row r="26" spans="1:10" x14ac:dyDescent="0.25">
      <c r="A26" s="1">
        <f>IF(Raw_data!A26="",NA(),Raw_data!A26)</f>
        <v>44738</v>
      </c>
      <c r="B26" s="14" t="str">
        <f>IF(Raw_data!B26="",NA(),Raw_data!B26)</f>
        <v>Eye Drops</v>
      </c>
      <c r="C26" s="14" t="str">
        <f>IF(Raw_data!C26="",NA(),Raw_data!C26)</f>
        <v>Priya Singh</v>
      </c>
      <c r="D26" s="15">
        <f>IF(Raw_data!D26="",NA(),Raw_data!D26)</f>
        <v>1</v>
      </c>
      <c r="E26" s="16">
        <f>IF(Raw_data!E26="",NA(),Raw_data!E26)</f>
        <v>9.98</v>
      </c>
      <c r="F26" s="14" t="str">
        <f>IF(Raw_data!F26="",NA(),Raw_data!F26)</f>
        <v>Canada</v>
      </c>
      <c r="G26">
        <f t="shared" si="0"/>
        <v>1</v>
      </c>
      <c r="I26" s="27"/>
      <c r="J26" s="28"/>
    </row>
    <row r="27" spans="1:10" x14ac:dyDescent="0.25">
      <c r="A27" s="1">
        <f>IF(Raw_data!A27="",NA(),Raw_data!A27)</f>
        <v>44743</v>
      </c>
      <c r="B27" s="14" t="str">
        <f>IF(Raw_data!B27="",NA(),Raw_data!B27)</f>
        <v>Pain Relief Tablets</v>
      </c>
      <c r="C27" s="14" t="str">
        <f>IF(Raw_data!C27="",NA(),Raw_data!C27)</f>
        <v>Rajesh Patel</v>
      </c>
      <c r="D27" s="15">
        <f>IF(Raw_data!D27="",NA(),Raw_data!D27)</f>
        <v>5</v>
      </c>
      <c r="E27" s="16">
        <f>IF(Raw_data!E27="",NA(),Raw_data!E27)</f>
        <v>101.4</v>
      </c>
      <c r="F27" s="14" t="str">
        <f>IF(Raw_data!F27="",NA(),Raw_data!F27)</f>
        <v>India</v>
      </c>
      <c r="G27">
        <f t="shared" si="0"/>
        <v>1</v>
      </c>
      <c r="I27" s="27"/>
      <c r="J27" s="28"/>
    </row>
    <row r="28" spans="1:10" x14ac:dyDescent="0.25">
      <c r="A28" s="1">
        <f>IF(Raw_data!A28="",NA(),Raw_data!A28)</f>
        <v>44801</v>
      </c>
      <c r="B28" s="14" t="str">
        <f>IF(Raw_data!B28="",NA(),Raw_data!B28)</f>
        <v>Digestive Enzyme</v>
      </c>
      <c r="C28" s="14" t="str">
        <f>IF(Raw_data!C28="",NA(),Raw_data!C28)</f>
        <v>Sneha Iyer</v>
      </c>
      <c r="D28" s="15">
        <f>IF(Raw_data!D28="",NA(),Raw_data!D28)</f>
        <v>13</v>
      </c>
      <c r="E28" s="16">
        <f>IF(Raw_data!E28="",NA(),Raw_data!E28)</f>
        <v>206.79</v>
      </c>
      <c r="F28" s="14" t="str">
        <f>IF(Raw_data!F28="",NA(),Raw_data!F28)</f>
        <v>India</v>
      </c>
      <c r="G28">
        <f t="shared" si="0"/>
        <v>1</v>
      </c>
    </row>
    <row r="29" spans="1:10" x14ac:dyDescent="0.25">
      <c r="A29" s="1">
        <f>IF(Raw_data!A29="",NA(),Raw_data!A29)</f>
        <v>44750</v>
      </c>
      <c r="B29" s="14" t="str">
        <f>IF(Raw_data!B29="",NA(),Raw_data!B29)</f>
        <v>Allergy Pills</v>
      </c>
      <c r="C29" s="14" t="str">
        <f>IF(Raw_data!C29="",NA(),Raw_data!C29)</f>
        <v>Aman Verma</v>
      </c>
      <c r="D29" s="15">
        <f>IF(Raw_data!D29="",NA(),Raw_data!D29)</f>
        <v>11</v>
      </c>
      <c r="E29" s="16">
        <f>IF(Raw_data!E29="",NA(),Raw_data!E29)</f>
        <v>153.08000000000001</v>
      </c>
      <c r="F29" s="14" t="str">
        <f>IF(Raw_data!F29="",NA(),Raw_data!F29)</f>
        <v>UK</v>
      </c>
      <c r="G29">
        <f t="shared" si="0"/>
        <v>1</v>
      </c>
    </row>
    <row r="30" spans="1:10" x14ac:dyDescent="0.25">
      <c r="A30" s="1">
        <f>IF(Raw_data!A30="",NA(),Raw_data!A30)</f>
        <v>44595</v>
      </c>
      <c r="B30" s="14" t="str">
        <f>IF(Raw_data!B30="",NA(),Raw_data!B30)</f>
        <v>Digestive Enzyme</v>
      </c>
      <c r="C30" s="14" t="str">
        <f>IF(Raw_data!C30="",NA(),Raw_data!C30)</f>
        <v>Aman Verma</v>
      </c>
      <c r="D30" s="15">
        <f>IF(Raw_data!D30="",NA(),Raw_data!D30)</f>
        <v>18</v>
      </c>
      <c r="E30" s="16">
        <f>IF(Raw_data!E30="",NA(),Raw_data!E30)</f>
        <v>411.44</v>
      </c>
      <c r="F30" s="14" t="str">
        <f>IF(Raw_data!F30="",NA(),Raw_data!F30)</f>
        <v>USA</v>
      </c>
      <c r="G30">
        <f t="shared" si="0"/>
        <v>1</v>
      </c>
    </row>
    <row r="31" spans="1:10" x14ac:dyDescent="0.25">
      <c r="A31" s="1">
        <f>IF(Raw_data!A31="",NA(),Raw_data!A31)</f>
        <v>44637</v>
      </c>
      <c r="B31" s="14" t="str">
        <f>IF(Raw_data!B31="",NA(),Raw_data!B31)</f>
        <v>Allergy Pills</v>
      </c>
      <c r="C31" s="14" t="str">
        <f>IF(Raw_data!C31="",NA(),Raw_data!C31)</f>
        <v>Rajesh Patel</v>
      </c>
      <c r="D31" s="15">
        <f>IF(Raw_data!D31="",NA(),Raw_data!D31)</f>
        <v>5</v>
      </c>
      <c r="E31" s="16">
        <f>IF(Raw_data!E31="",NA(),Raw_data!E31)</f>
        <v>46.92</v>
      </c>
      <c r="F31" s="14" t="str">
        <f>IF(Raw_data!F31="",NA(),Raw_data!F31)</f>
        <v>Canada</v>
      </c>
      <c r="G31">
        <f t="shared" si="0"/>
        <v>1</v>
      </c>
    </row>
    <row r="32" spans="1:10" x14ac:dyDescent="0.25">
      <c r="A32" s="1">
        <f>IF(Raw_data!A32="",NA(),Raw_data!A32)</f>
        <v>44737</v>
      </c>
      <c r="B32" s="14" t="str">
        <f>IF(Raw_data!B32="",NA(),Raw_data!B32)</f>
        <v>Cough Syrup</v>
      </c>
      <c r="C32" s="14" t="str">
        <f>IF(Raw_data!C32="",NA(),Raw_data!C32)</f>
        <v>Divya Mehra</v>
      </c>
      <c r="D32" s="15">
        <f>IF(Raw_data!D32="",NA(),Raw_data!D32)</f>
        <v>3</v>
      </c>
      <c r="E32" s="16">
        <f>IF(Raw_data!E32="",NA(),Raw_data!E32)</f>
        <v>42.85</v>
      </c>
      <c r="F32" s="14" t="str">
        <f>IF(Raw_data!F32="",NA(),Raw_data!F32)</f>
        <v>UK</v>
      </c>
      <c r="G32">
        <f t="shared" si="0"/>
        <v>1</v>
      </c>
    </row>
    <row r="33" spans="1:7" x14ac:dyDescent="0.25">
      <c r="A33" s="1">
        <f>IF(Raw_data!A33="",NA(),Raw_data!A33)</f>
        <v>44723</v>
      </c>
      <c r="B33" s="14" t="str">
        <f>IF(Raw_data!B33="",NA(),Raw_data!B33)</f>
        <v>Eye Drops</v>
      </c>
      <c r="C33" s="14" t="str">
        <f>IF(Raw_data!C33="",NA(),Raw_data!C33)</f>
        <v>Priya Singh</v>
      </c>
      <c r="D33" s="15">
        <f>IF(Raw_data!D33="",NA(),Raw_data!D33)</f>
        <v>2</v>
      </c>
      <c r="E33" s="16">
        <f>IF(Raw_data!E33="",NA(),Raw_data!E33)</f>
        <v>40.17</v>
      </c>
      <c r="F33" s="14" t="str">
        <f>IF(Raw_data!F33="",NA(),Raw_data!F33)</f>
        <v>UK</v>
      </c>
      <c r="G33">
        <f t="shared" si="0"/>
        <v>1</v>
      </c>
    </row>
    <row r="34" spans="1:7" x14ac:dyDescent="0.25">
      <c r="A34" s="1">
        <f>IF(Raw_data!A34="",NA(),Raw_data!A34)</f>
        <v>44649</v>
      </c>
      <c r="B34" s="14" t="str">
        <f>IF(Raw_data!B34="",NA(),Raw_data!B34)</f>
        <v>Antiseptic Cream</v>
      </c>
      <c r="C34" s="14" t="str">
        <f>IF(Raw_data!C34="",NA(),Raw_data!C34)</f>
        <v>Rajesh Patel</v>
      </c>
      <c r="D34" s="15">
        <f>IF(Raw_data!D34="",NA(),Raw_data!D34)</f>
        <v>13</v>
      </c>
      <c r="E34" s="16">
        <f>IF(Raw_data!E34="",NA(),Raw_data!E34)</f>
        <v>243.79</v>
      </c>
      <c r="F34" s="14" t="str">
        <f>IF(Raw_data!F34="",NA(),Raw_data!F34)</f>
        <v>Canada</v>
      </c>
      <c r="G34">
        <f t="shared" si="0"/>
        <v>1</v>
      </c>
    </row>
    <row r="35" spans="1:7" x14ac:dyDescent="0.25">
      <c r="A35" s="1">
        <f>IF(Raw_data!A35="",NA(),Raw_data!A35)</f>
        <v>44646</v>
      </c>
      <c r="B35" s="14" t="str">
        <f>IF(Raw_data!B35="",NA(),Raw_data!B35)</f>
        <v>Antiseptic Cream</v>
      </c>
      <c r="C35" s="14" t="str">
        <f>IF(Raw_data!C35="",NA(),Raw_data!C35)</f>
        <v>Priya Singh</v>
      </c>
      <c r="D35" s="15">
        <f>IF(Raw_data!D35="",NA(),Raw_data!D35)</f>
        <v>2</v>
      </c>
      <c r="E35" s="16">
        <f>IF(Raw_data!E35="",NA(),Raw_data!E35)</f>
        <v>44.86</v>
      </c>
      <c r="F35" s="14" t="str">
        <f>IF(Raw_data!F35="",NA(),Raw_data!F35)</f>
        <v>UK</v>
      </c>
      <c r="G35">
        <f t="shared" si="0"/>
        <v>1</v>
      </c>
    </row>
    <row r="36" spans="1:7" x14ac:dyDescent="0.25">
      <c r="A36" s="1">
        <f>IF(Raw_data!A36="",NA(),Raw_data!A36)</f>
        <v>44757</v>
      </c>
      <c r="B36" s="14" t="str">
        <f>IF(Raw_data!B36="",NA(),Raw_data!B36)</f>
        <v>Digestive Enzyme</v>
      </c>
      <c r="C36" s="14" t="str">
        <f>IF(Raw_data!C36="",NA(),Raw_data!C36)</f>
        <v>Nikhil Batra</v>
      </c>
      <c r="D36" s="15">
        <f>IF(Raw_data!D36="",NA(),Raw_data!D36)</f>
        <v>19</v>
      </c>
      <c r="E36" s="16">
        <f>IF(Raw_data!E36="",NA(),Raw_data!E36)</f>
        <v>288.39999999999998</v>
      </c>
      <c r="F36" s="14" t="str">
        <f>IF(Raw_data!F36="",NA(),Raw_data!F36)</f>
        <v>UK</v>
      </c>
      <c r="G36">
        <f t="shared" si="0"/>
        <v>1</v>
      </c>
    </row>
    <row r="37" spans="1:7" x14ac:dyDescent="0.25">
      <c r="A37" s="1">
        <f>IF(Raw_data!A37="",NA(),Raw_data!A37)</f>
        <v>44758</v>
      </c>
      <c r="B37" s="14" t="str">
        <f>IF(Raw_data!B37="",NA(),Raw_data!B37)</f>
        <v>Cough Syrup</v>
      </c>
      <c r="C37" s="14" t="str">
        <f>IF(Raw_data!C37="",NA(),Raw_data!C37)</f>
        <v>Aman Verma</v>
      </c>
      <c r="D37" s="15">
        <f>IF(Raw_data!D37="",NA(),Raw_data!D37)</f>
        <v>9</v>
      </c>
      <c r="E37" s="16">
        <f>IF(Raw_data!E37="",NA(),Raw_data!E37)</f>
        <v>137.02000000000001</v>
      </c>
      <c r="F37" s="14" t="str">
        <f>IF(Raw_data!F37="",NA(),Raw_data!F37)</f>
        <v>India</v>
      </c>
      <c r="G37">
        <f t="shared" si="0"/>
        <v>1</v>
      </c>
    </row>
    <row r="38" spans="1:7" x14ac:dyDescent="0.25">
      <c r="A38" s="1">
        <f>IF(Raw_data!A38="",NA(),Raw_data!A38)</f>
        <v>44684</v>
      </c>
      <c r="B38" s="14" t="str">
        <f>IF(Raw_data!B38="",NA(),Raw_data!B38)</f>
        <v>Antiseptic Cream</v>
      </c>
      <c r="C38" s="14" t="str">
        <f>IF(Raw_data!C38="",NA(),Raw_data!C38)</f>
        <v>Priya Singh</v>
      </c>
      <c r="D38" s="15">
        <f>IF(Raw_data!D38="",NA(),Raw_data!D38)</f>
        <v>11</v>
      </c>
      <c r="E38" s="16">
        <f>IF(Raw_data!E38="",NA(),Raw_data!E38)</f>
        <v>228.69</v>
      </c>
      <c r="F38" s="14" t="str">
        <f>IF(Raw_data!F38="",NA(),Raw_data!F38)</f>
        <v>India</v>
      </c>
      <c r="G38">
        <f t="shared" si="0"/>
        <v>1</v>
      </c>
    </row>
    <row r="39" spans="1:7" x14ac:dyDescent="0.25">
      <c r="A39" s="1">
        <f>IF(Raw_data!A39="",NA(),Raw_data!A39)</f>
        <v>44729</v>
      </c>
      <c r="B39" s="14" t="str">
        <f>IF(Raw_data!B39="",NA(),Raw_data!B39)</f>
        <v>Digestive Enzyme</v>
      </c>
      <c r="C39" s="14" t="str">
        <f>IF(Raw_data!C39="",NA(),Raw_data!C39)</f>
        <v>Rajesh Patel</v>
      </c>
      <c r="D39" s="15">
        <f>IF(Raw_data!D39="",NA(),Raw_data!D39)</f>
        <v>14</v>
      </c>
      <c r="E39" s="16">
        <f>IF(Raw_data!E39="",NA(),Raw_data!E39)</f>
        <v>287.52999999999997</v>
      </c>
      <c r="F39" s="14" t="str">
        <f>IF(Raw_data!F39="",NA(),Raw_data!F39)</f>
        <v>USA</v>
      </c>
      <c r="G39">
        <f t="shared" si="0"/>
        <v>1</v>
      </c>
    </row>
    <row r="40" spans="1:7" x14ac:dyDescent="0.25">
      <c r="A40" s="1">
        <f>IF(Raw_data!A40="",NA(),Raw_data!A40)</f>
        <v>44664</v>
      </c>
      <c r="B40" s="14" t="str">
        <f>IF(Raw_data!B40="",NA(),Raw_data!B40)</f>
        <v>Digestive Enzyme</v>
      </c>
      <c r="C40" s="14" t="str">
        <f>IF(Raw_data!C40="",NA(),Raw_data!C40)</f>
        <v>Rajesh Patel</v>
      </c>
      <c r="D40" s="15">
        <f>IF(Raw_data!D40="",NA(),Raw_data!D40)</f>
        <v>14</v>
      </c>
      <c r="E40" s="16">
        <f>IF(Raw_data!E40="",NA(),Raw_data!E40)</f>
        <v>294.16000000000003</v>
      </c>
      <c r="F40" s="14" t="str">
        <f>IF(Raw_data!F40="",NA(),Raw_data!F40)</f>
        <v>Australia</v>
      </c>
      <c r="G40">
        <f t="shared" si="0"/>
        <v>1</v>
      </c>
    </row>
    <row r="41" spans="1:7" x14ac:dyDescent="0.25">
      <c r="A41" s="1">
        <f>IF(Raw_data!A41="",NA(),Raw_data!A41)</f>
        <v>44747</v>
      </c>
      <c r="B41" s="14" t="str">
        <f>IF(Raw_data!B41="",NA(),Raw_data!B41)</f>
        <v>Antiseptic Cream</v>
      </c>
      <c r="C41" s="14" t="str">
        <f>IF(Raw_data!C41="",NA(),Raw_data!C41)</f>
        <v>Nikhil Batra</v>
      </c>
      <c r="D41" s="15">
        <f>IF(Raw_data!D41="",NA(),Raw_data!D41)</f>
        <v>19</v>
      </c>
      <c r="E41" s="16">
        <f>IF(Raw_data!E41="",NA(),Raw_data!E41)</f>
        <v>217.38</v>
      </c>
      <c r="F41" s="14" t="str">
        <f>IF(Raw_data!F41="",NA(),Raw_data!F41)</f>
        <v>India</v>
      </c>
      <c r="G41">
        <f t="shared" si="0"/>
        <v>1</v>
      </c>
    </row>
    <row r="42" spans="1:7" x14ac:dyDescent="0.25">
      <c r="A42" s="1">
        <f>IF(Raw_data!A42="",NA(),Raw_data!A42)</f>
        <v>44779</v>
      </c>
      <c r="B42" s="14" t="str">
        <f>IF(Raw_data!B42="",NA(),Raw_data!B42)</f>
        <v>Cough Syrup</v>
      </c>
      <c r="C42" s="14" t="str">
        <f>IF(Raw_data!C42="",NA(),Raw_data!C42)</f>
        <v>Divya Mehra</v>
      </c>
      <c r="D42" s="15">
        <f>IF(Raw_data!D42="",NA(),Raw_data!D42)</f>
        <v>13</v>
      </c>
      <c r="E42" s="16">
        <f>IF(Raw_data!E42="",NA(),Raw_data!E42)</f>
        <v>232.97</v>
      </c>
      <c r="F42" s="14" t="str">
        <f>IF(Raw_data!F42="",NA(),Raw_data!F42)</f>
        <v>Canada</v>
      </c>
      <c r="G42">
        <f t="shared" si="0"/>
        <v>1</v>
      </c>
    </row>
    <row r="43" spans="1:7" x14ac:dyDescent="0.25">
      <c r="A43" s="1">
        <f>IF(Raw_data!A43="",NA(),Raw_data!A43)</f>
        <v>44706</v>
      </c>
      <c r="B43" s="14" t="str">
        <f>IF(Raw_data!B43="",NA(),Raw_data!B43)</f>
        <v>Antiseptic Cream</v>
      </c>
      <c r="C43" s="14" t="str">
        <f>IF(Raw_data!C43="",NA(),Raw_data!C43)</f>
        <v>Ritika Shah</v>
      </c>
      <c r="D43" s="15">
        <f>IF(Raw_data!D43="",NA(),Raw_data!D43)</f>
        <v>3</v>
      </c>
      <c r="E43" s="16">
        <f>IF(Raw_data!E43="",NA(),Raw_data!E43)</f>
        <v>34.74</v>
      </c>
      <c r="F43" s="14" t="str">
        <f>IF(Raw_data!F43="",NA(),Raw_data!F43)</f>
        <v>UK</v>
      </c>
      <c r="G43">
        <f t="shared" si="0"/>
        <v>1</v>
      </c>
    </row>
    <row r="44" spans="1:7" x14ac:dyDescent="0.25">
      <c r="A44" s="1">
        <f>IF(Raw_data!A44="",NA(),Raw_data!A44)</f>
        <v>44671</v>
      </c>
      <c r="B44" s="14" t="str">
        <f>IF(Raw_data!B44="",NA(),Raw_data!B44)</f>
        <v>Allergy Pills</v>
      </c>
      <c r="C44" s="14" t="str">
        <f>IF(Raw_data!C44="",NA(),Raw_data!C44)</f>
        <v>Divya Mehra</v>
      </c>
      <c r="D44" s="15">
        <f>IF(Raw_data!D44="",NA(),Raw_data!D44)</f>
        <v>7</v>
      </c>
      <c r="E44" s="16">
        <f>IF(Raw_data!E44="",NA(),Raw_data!E44)</f>
        <v>152.22999999999999</v>
      </c>
      <c r="F44" s="14" t="str">
        <f>IF(Raw_data!F44="",NA(),Raw_data!F44)</f>
        <v>USA</v>
      </c>
      <c r="G44">
        <f t="shared" si="0"/>
        <v>1</v>
      </c>
    </row>
    <row r="45" spans="1:7" x14ac:dyDescent="0.25">
      <c r="A45" s="1">
        <f>IF(Raw_data!A45="",NA(),Raw_data!A45)</f>
        <v>44696</v>
      </c>
      <c r="B45" s="14" t="str">
        <f>IF(Raw_data!B45="",NA(),Raw_data!B45)</f>
        <v>Nasal Spray</v>
      </c>
      <c r="C45" s="14" t="str">
        <f>IF(Raw_data!C45="",NA(),Raw_data!C45)</f>
        <v>Aman Verma</v>
      </c>
      <c r="D45" s="15">
        <f>IF(Raw_data!D45="",NA(),Raw_data!D45)</f>
        <v>11</v>
      </c>
      <c r="E45" s="16">
        <f>IF(Raw_data!E45="",NA(),Raw_data!E45)</f>
        <v>197.71</v>
      </c>
      <c r="F45" s="14" t="str">
        <f>IF(Raw_data!F45="",NA(),Raw_data!F45)</f>
        <v>UK</v>
      </c>
      <c r="G45">
        <f t="shared" si="0"/>
        <v>1</v>
      </c>
    </row>
    <row r="46" spans="1:7" x14ac:dyDescent="0.25">
      <c r="A46" s="1">
        <f>IF(Raw_data!A46="",NA(),Raw_data!A46)</f>
        <v>44568</v>
      </c>
      <c r="B46" s="14" t="str">
        <f>IF(Raw_data!B46="",NA(),Raw_data!B46)</f>
        <v>Allergy Pills</v>
      </c>
      <c r="C46" s="14" t="str">
        <f>IF(Raw_data!C46="",NA(),Raw_data!C46)</f>
        <v>Divya Mehra</v>
      </c>
      <c r="D46" s="15">
        <f>IF(Raw_data!D46="",NA(),Raw_data!D46)</f>
        <v>10</v>
      </c>
      <c r="E46" s="16">
        <f>IF(Raw_data!E46="",NA(),Raw_data!E46)</f>
        <v>161.56</v>
      </c>
      <c r="F46" s="14" t="str">
        <f>IF(Raw_data!F46="",NA(),Raw_data!F46)</f>
        <v>USA</v>
      </c>
      <c r="G46">
        <f t="shared" si="0"/>
        <v>1</v>
      </c>
    </row>
    <row r="47" spans="1:7" x14ac:dyDescent="0.25">
      <c r="A47" s="1">
        <f>IF(Raw_data!A47="",NA(),Raw_data!A47)</f>
        <v>44710</v>
      </c>
      <c r="B47" s="14" t="str">
        <f>IF(Raw_data!B47="",NA(),Raw_data!B47)</f>
        <v>Antiseptic Cream</v>
      </c>
      <c r="C47" s="14" t="str">
        <f>IF(Raw_data!C47="",NA(),Raw_data!C47)</f>
        <v>Priya Singh</v>
      </c>
      <c r="D47" s="15">
        <f>IF(Raw_data!D47="",NA(),Raw_data!D47)</f>
        <v>16</v>
      </c>
      <c r="E47" s="16">
        <f>IF(Raw_data!E47="",NA(),Raw_data!E47)</f>
        <v>339.11</v>
      </c>
      <c r="F47" s="14" t="str">
        <f>IF(Raw_data!F47="",NA(),Raw_data!F47)</f>
        <v>UK</v>
      </c>
      <c r="G47">
        <f t="shared" si="0"/>
        <v>1</v>
      </c>
    </row>
    <row r="48" spans="1:7" x14ac:dyDescent="0.25">
      <c r="A48" s="1">
        <f>IF(Raw_data!A48="",NA(),Raw_data!A48)</f>
        <v>44630</v>
      </c>
      <c r="B48" s="14" t="str">
        <f>IF(Raw_data!B48="",NA(),Raw_data!B48)</f>
        <v>Antiseptic Cream</v>
      </c>
      <c r="C48" s="14" t="str">
        <f>IF(Raw_data!C48="",NA(),Raw_data!C48)</f>
        <v>Sneha Iyer</v>
      </c>
      <c r="D48" s="15">
        <f>IF(Raw_data!D48="",NA(),Raw_data!D48)</f>
        <v>1</v>
      </c>
      <c r="E48" s="16">
        <f>IF(Raw_data!E48="",NA(),Raw_data!E48)</f>
        <v>11.64</v>
      </c>
      <c r="F48" s="14" t="str">
        <f>IF(Raw_data!F48="",NA(),Raw_data!F48)</f>
        <v>UK</v>
      </c>
      <c r="G48">
        <f t="shared" si="0"/>
        <v>1</v>
      </c>
    </row>
    <row r="49" spans="1:7" x14ac:dyDescent="0.25">
      <c r="A49" s="1">
        <f>IF(Raw_data!A49="",NA(),Raw_data!A49)</f>
        <v>44690</v>
      </c>
      <c r="B49" s="14" t="str">
        <f>IF(Raw_data!B49="",NA(),Raw_data!B49)</f>
        <v>Antiseptic Cream</v>
      </c>
      <c r="C49" s="14" t="str">
        <f>IF(Raw_data!C49="",NA(),Raw_data!C49)</f>
        <v>Priya Singh</v>
      </c>
      <c r="D49" s="15">
        <f>IF(Raw_data!D49="",NA(),Raw_data!D49)</f>
        <v>3</v>
      </c>
      <c r="E49" s="16">
        <f>IF(Raw_data!E49="",NA(),Raw_data!E49)</f>
        <v>36.54</v>
      </c>
      <c r="F49" s="14" t="str">
        <f>IF(Raw_data!F49="",NA(),Raw_data!F49)</f>
        <v>Australia</v>
      </c>
      <c r="G49">
        <f t="shared" si="0"/>
        <v>1</v>
      </c>
    </row>
    <row r="50" spans="1:7" x14ac:dyDescent="0.25">
      <c r="A50" s="1">
        <f>IF(Raw_data!A50="",NA(),Raw_data!A50)</f>
        <v>44753</v>
      </c>
      <c r="B50" s="14" t="str">
        <f>IF(Raw_data!B50="",NA(),Raw_data!B50)</f>
        <v>Cough Syrup</v>
      </c>
      <c r="C50" s="14" t="str">
        <f>IF(Raw_data!C50="",NA(),Raw_data!C50)</f>
        <v>Sneha Iyer</v>
      </c>
      <c r="D50" s="15">
        <f>IF(Raw_data!D50="",NA(),Raw_data!D50)</f>
        <v>16</v>
      </c>
      <c r="E50" s="16">
        <f>IF(Raw_data!E50="",NA(),Raw_data!E50)</f>
        <v>163.57</v>
      </c>
      <c r="F50" s="14" t="str">
        <f>IF(Raw_data!F50="",NA(),Raw_data!F50)</f>
        <v>USA</v>
      </c>
      <c r="G50">
        <f t="shared" si="0"/>
        <v>1</v>
      </c>
    </row>
    <row r="51" spans="1:7" x14ac:dyDescent="0.25">
      <c r="A51" s="1">
        <f>IF(Raw_data!A51="",NA(),Raw_data!A51)</f>
        <v>44662</v>
      </c>
      <c r="B51" s="14" t="str">
        <f>IF(Raw_data!B51="",NA(),Raw_data!B51)</f>
        <v>Cough Syrup</v>
      </c>
      <c r="C51" s="14" t="str">
        <f>IF(Raw_data!C51="",NA(),Raw_data!C51)</f>
        <v>Priya Singh</v>
      </c>
      <c r="D51" s="15">
        <f>IF(Raw_data!D51="",NA(),Raw_data!D51)</f>
        <v>11</v>
      </c>
      <c r="E51" s="16">
        <f>IF(Raw_data!E51="",NA(),Raw_data!E51)</f>
        <v>221.08</v>
      </c>
      <c r="F51" s="14" t="str">
        <f>IF(Raw_data!F51="",NA(),Raw_data!F51)</f>
        <v>India</v>
      </c>
      <c r="G51">
        <f t="shared" si="0"/>
        <v>1</v>
      </c>
    </row>
    <row r="52" spans="1:7" x14ac:dyDescent="0.25">
      <c r="A52" s="1">
        <f>IF(Raw_data!A52="",NA(),Raw_data!A52)</f>
        <v>44563</v>
      </c>
      <c r="B52" s="14" t="str">
        <f>IF(Raw_data!B52="",NA(),Raw_data!B52)</f>
        <v>Digestive Enzyme</v>
      </c>
      <c r="C52" s="14" t="str">
        <f>IF(Raw_data!C52="",NA(),Raw_data!C52)</f>
        <v>Nikhil Batra</v>
      </c>
      <c r="D52" s="15">
        <f>IF(Raw_data!D52="",NA(),Raw_data!D52)</f>
        <v>14</v>
      </c>
      <c r="E52" s="16">
        <f>IF(Raw_data!E52="",NA(),Raw_data!E52)</f>
        <v>201.96</v>
      </c>
      <c r="F52" s="14" t="str">
        <f>IF(Raw_data!F52="",NA(),Raw_data!F52)</f>
        <v>USA</v>
      </c>
      <c r="G52">
        <f t="shared" si="0"/>
        <v>1</v>
      </c>
    </row>
    <row r="53" spans="1:7" x14ac:dyDescent="0.25">
      <c r="A53" s="1">
        <f>IF(Raw_data!A53="",NA(),Raw_data!A53)</f>
        <v>44734</v>
      </c>
      <c r="B53" s="14" t="str">
        <f>IF(Raw_data!B53="",NA(),Raw_data!B53)</f>
        <v>Cough Syrup</v>
      </c>
      <c r="C53" s="14" t="str">
        <f>IF(Raw_data!C53="",NA(),Raw_data!C53)</f>
        <v>Rajesh Patel</v>
      </c>
      <c r="D53" s="15">
        <f>IF(Raw_data!D53="",NA(),Raw_data!D53)</f>
        <v>7</v>
      </c>
      <c r="E53" s="16">
        <f>IF(Raw_data!E53="",NA(),Raw_data!E53)</f>
        <v>134.24</v>
      </c>
      <c r="F53" s="14" t="str">
        <f>IF(Raw_data!F53="",NA(),Raw_data!F53)</f>
        <v>UK</v>
      </c>
      <c r="G53">
        <f t="shared" si="0"/>
        <v>1</v>
      </c>
    </row>
    <row r="54" spans="1:7" x14ac:dyDescent="0.25">
      <c r="A54" s="1">
        <f>IF(Raw_data!A54="",NA(),Raw_data!A54)</f>
        <v>44783</v>
      </c>
      <c r="B54" s="14" t="str">
        <f>IF(Raw_data!B54="",NA(),Raw_data!B54)</f>
        <v>Allergy Pills</v>
      </c>
      <c r="C54" s="14" t="str">
        <f>IF(Raw_data!C54="",NA(),Raw_data!C54)</f>
        <v>Sneha Iyer</v>
      </c>
      <c r="D54" s="15">
        <f>IF(Raw_data!D54="",NA(),Raw_data!D54)</f>
        <v>8</v>
      </c>
      <c r="E54" s="16">
        <f>IF(Raw_data!E54="",NA(),Raw_data!E54)</f>
        <v>85.5</v>
      </c>
      <c r="F54" s="14" t="str">
        <f>IF(Raw_data!F54="",NA(),Raw_data!F54)</f>
        <v>Canada</v>
      </c>
      <c r="G54">
        <f t="shared" si="0"/>
        <v>1</v>
      </c>
    </row>
    <row r="55" spans="1:7" x14ac:dyDescent="0.25">
      <c r="A55" s="1">
        <f>IF(Raw_data!A55="",NA(),Raw_data!A55)</f>
        <v>44563</v>
      </c>
      <c r="B55" s="14" t="str">
        <f>IF(Raw_data!B55="",NA(),Raw_data!B55)</f>
        <v>Pain Relief Tablets</v>
      </c>
      <c r="C55" s="14" t="str">
        <f>IF(Raw_data!C55="",NA(),Raw_data!C55)</f>
        <v>Aman Verma</v>
      </c>
      <c r="D55" s="15">
        <f>IF(Raw_data!D55="",NA(),Raw_data!D55)</f>
        <v>3</v>
      </c>
      <c r="E55" s="16">
        <f>IF(Raw_data!E55="",NA(),Raw_data!E55)</f>
        <v>42.45</v>
      </c>
      <c r="F55" s="14" t="str">
        <f>IF(Raw_data!F55="",NA(),Raw_data!F55)</f>
        <v>India</v>
      </c>
      <c r="G55">
        <f t="shared" si="0"/>
        <v>1</v>
      </c>
    </row>
    <row r="56" spans="1:7" x14ac:dyDescent="0.25">
      <c r="A56" s="1">
        <f>IF(Raw_data!A56="",NA(),Raw_data!A56)</f>
        <v>44745</v>
      </c>
      <c r="B56" s="14" t="str">
        <f>IF(Raw_data!B56="",NA(),Raw_data!B56)</f>
        <v>Nasal Spray</v>
      </c>
      <c r="C56" s="14" t="str">
        <f>IF(Raw_data!C56="",NA(),Raw_data!C56)</f>
        <v>Aman Verma</v>
      </c>
      <c r="D56" s="15">
        <f>IF(Raw_data!D56="",NA(),Raw_data!D56)</f>
        <v>4</v>
      </c>
      <c r="E56" s="16">
        <f>IF(Raw_data!E56="",NA(),Raw_data!E56)</f>
        <v>43.61</v>
      </c>
      <c r="F56" s="14" t="str">
        <f>IF(Raw_data!F56="",NA(),Raw_data!F56)</f>
        <v>UK</v>
      </c>
      <c r="G56">
        <f t="shared" si="0"/>
        <v>1</v>
      </c>
    </row>
    <row r="57" spans="1:7" x14ac:dyDescent="0.25">
      <c r="A57" s="1">
        <f>IF(Raw_data!A57="",NA(),Raw_data!A57)</f>
        <v>44641</v>
      </c>
      <c r="B57" s="14" t="str">
        <f>IF(Raw_data!B57="",NA(),Raw_data!B57)</f>
        <v>Digestive Enzyme</v>
      </c>
      <c r="C57" s="14" t="str">
        <f>IF(Raw_data!C57="",NA(),Raw_data!C57)</f>
        <v>Rajesh Patel</v>
      </c>
      <c r="D57" s="15">
        <f>IF(Raw_data!D57="",NA(),Raw_data!D57)</f>
        <v>7</v>
      </c>
      <c r="E57" s="16">
        <f>IF(Raw_data!E57="",NA(),Raw_data!E57)</f>
        <v>134.53</v>
      </c>
      <c r="F57" s="14" t="str">
        <f>IF(Raw_data!F57="",NA(),Raw_data!F57)</f>
        <v>UK</v>
      </c>
      <c r="G57">
        <f t="shared" si="0"/>
        <v>1</v>
      </c>
    </row>
    <row r="58" spans="1:7" x14ac:dyDescent="0.25">
      <c r="A58" s="1">
        <f>IF(Raw_data!A58="",NA(),Raw_data!A58)</f>
        <v>44667</v>
      </c>
      <c r="B58" s="14" t="str">
        <f>IF(Raw_data!B58="",NA(),Raw_data!B58)</f>
        <v>Pain Relief Tablets</v>
      </c>
      <c r="C58" s="14" t="str">
        <f>IF(Raw_data!C58="",NA(),Raw_data!C58)</f>
        <v>Divya Mehra</v>
      </c>
      <c r="D58" s="15">
        <f>IF(Raw_data!D58="",NA(),Raw_data!D58)</f>
        <v>7</v>
      </c>
      <c r="E58" s="16">
        <f>IF(Raw_data!E58="",NA(),Raw_data!E58)</f>
        <v>141.33000000000001</v>
      </c>
      <c r="F58" s="14" t="str">
        <f>IF(Raw_data!F58="",NA(),Raw_data!F58)</f>
        <v>USA</v>
      </c>
      <c r="G58">
        <f t="shared" si="0"/>
        <v>1</v>
      </c>
    </row>
    <row r="59" spans="1:7" x14ac:dyDescent="0.25">
      <c r="A59" s="1">
        <f>IF(Raw_data!A59="",NA(),Raw_data!A59)</f>
        <v>44799</v>
      </c>
      <c r="B59" s="14" t="str">
        <f>IF(Raw_data!B59="",NA(),Raw_data!B59)</f>
        <v>Cough Syrup</v>
      </c>
      <c r="C59" s="14" t="str">
        <f>IF(Raw_data!C59="",NA(),Raw_data!C59)</f>
        <v>Nikhil Batra</v>
      </c>
      <c r="D59" s="15">
        <f>IF(Raw_data!D59="",NA(),Raw_data!D59)</f>
        <v>18</v>
      </c>
      <c r="E59" s="16">
        <f>IF(Raw_data!E59="",NA(),Raw_data!E59)</f>
        <v>336.53</v>
      </c>
      <c r="F59" s="14" t="str">
        <f>IF(Raw_data!F59="",NA(),Raw_data!F59)</f>
        <v>UK</v>
      </c>
      <c r="G59">
        <f t="shared" si="0"/>
        <v>1</v>
      </c>
    </row>
    <row r="60" spans="1:7" x14ac:dyDescent="0.25">
      <c r="A60" s="1">
        <f>IF(Raw_data!A60="",NA(),Raw_data!A60)</f>
        <v>44673</v>
      </c>
      <c r="B60" s="14" t="str">
        <f>IF(Raw_data!B60="",NA(),Raw_data!B60)</f>
        <v>Nasal Spray</v>
      </c>
      <c r="C60" s="14" t="str">
        <f>IF(Raw_data!C60="",NA(),Raw_data!C60)</f>
        <v>Rajesh Patel</v>
      </c>
      <c r="D60" s="15">
        <f>IF(Raw_data!D60="",NA(),Raw_data!D60)</f>
        <v>20</v>
      </c>
      <c r="E60" s="16">
        <f>IF(Raw_data!E60="",NA(),Raw_data!E60)</f>
        <v>470.78</v>
      </c>
      <c r="F60" s="14" t="str">
        <f>IF(Raw_data!F60="",NA(),Raw_data!F60)</f>
        <v>Australia</v>
      </c>
      <c r="G60">
        <f t="shared" si="0"/>
        <v>1</v>
      </c>
    </row>
    <row r="61" spans="1:7" x14ac:dyDescent="0.25">
      <c r="A61" s="1">
        <f>IF(Raw_data!A61="",NA(),Raw_data!A61)</f>
        <v>44637</v>
      </c>
      <c r="B61" s="14" t="str">
        <f>IF(Raw_data!B61="",NA(),Raw_data!B61)</f>
        <v>Nasal Spray</v>
      </c>
      <c r="C61" s="14" t="str">
        <f>IF(Raw_data!C61="",NA(),Raw_data!C61)</f>
        <v>Aman Verma</v>
      </c>
      <c r="D61" s="15">
        <f>IF(Raw_data!D61="",NA(),Raw_data!D61)</f>
        <v>14</v>
      </c>
      <c r="E61" s="16">
        <f>IF(Raw_data!E61="",NA(),Raw_data!E61)</f>
        <v>163.03</v>
      </c>
      <c r="F61" s="14" t="str">
        <f>IF(Raw_data!F61="",NA(),Raw_data!F61)</f>
        <v>UK</v>
      </c>
      <c r="G61">
        <f t="shared" si="0"/>
        <v>1</v>
      </c>
    </row>
    <row r="62" spans="1:7" x14ac:dyDescent="0.25">
      <c r="A62" s="1">
        <f>IF(Raw_data!A62="",NA(),Raw_data!A62)</f>
        <v>44740</v>
      </c>
      <c r="B62" s="14" t="str">
        <f>IF(Raw_data!B62="",NA(),Raw_data!B62)</f>
        <v>Cough Syrup</v>
      </c>
      <c r="C62" s="14" t="str">
        <f>IF(Raw_data!C62="",NA(),Raw_data!C62)</f>
        <v>Rajesh Patel</v>
      </c>
      <c r="D62" s="15">
        <f>IF(Raw_data!D62="",NA(),Raw_data!D62)</f>
        <v>7</v>
      </c>
      <c r="E62" s="16">
        <f>IF(Raw_data!E62="",NA(),Raw_data!E62)</f>
        <v>88.38</v>
      </c>
      <c r="F62" s="14" t="str">
        <f>IF(Raw_data!F62="",NA(),Raw_data!F62)</f>
        <v>India</v>
      </c>
      <c r="G62">
        <f t="shared" si="0"/>
        <v>1</v>
      </c>
    </row>
    <row r="63" spans="1:7" x14ac:dyDescent="0.25">
      <c r="A63" s="1">
        <f>IF(Raw_data!A63="",NA(),Raw_data!A63)</f>
        <v>44727</v>
      </c>
      <c r="B63" s="14" t="str">
        <f>IF(Raw_data!B63="",NA(),Raw_data!B63)</f>
        <v>Eye Drops</v>
      </c>
      <c r="C63" s="14" t="str">
        <f>IF(Raw_data!C63="",NA(),Raw_data!C63)</f>
        <v>Nikhil Batra</v>
      </c>
      <c r="D63" s="15">
        <f>IF(Raw_data!D63="",NA(),Raw_data!D63)</f>
        <v>11</v>
      </c>
      <c r="E63" s="16">
        <f>IF(Raw_data!E63="",NA(),Raw_data!E63)</f>
        <v>127.82</v>
      </c>
      <c r="F63" s="14" t="str">
        <f>IF(Raw_data!F63="",NA(),Raw_data!F63)</f>
        <v>USA</v>
      </c>
      <c r="G63">
        <f t="shared" si="0"/>
        <v>1</v>
      </c>
    </row>
    <row r="64" spans="1:7" x14ac:dyDescent="0.25">
      <c r="A64" s="1">
        <f>IF(Raw_data!A64="",NA(),Raw_data!A64)</f>
        <v>44681</v>
      </c>
      <c r="B64" s="14" t="str">
        <f>IF(Raw_data!B64="",NA(),Raw_data!B64)</f>
        <v>Eye Drops</v>
      </c>
      <c r="C64" s="14" t="str">
        <f>IF(Raw_data!C64="",NA(),Raw_data!C64)</f>
        <v>Priya Singh</v>
      </c>
      <c r="D64" s="15">
        <f>IF(Raw_data!D64="",NA(),Raw_data!D64)</f>
        <v>2</v>
      </c>
      <c r="E64" s="16">
        <f>IF(Raw_data!E64="",NA(),Raw_data!E64)</f>
        <v>30.78</v>
      </c>
      <c r="F64" s="14" t="str">
        <f>IF(Raw_data!F64="",NA(),Raw_data!F64)</f>
        <v>Canada</v>
      </c>
      <c r="G64">
        <f t="shared" si="0"/>
        <v>1</v>
      </c>
    </row>
    <row r="65" spans="1:7" x14ac:dyDescent="0.25">
      <c r="A65" s="1">
        <f>IF(Raw_data!A65="",NA(),Raw_data!A65)</f>
        <v>44576</v>
      </c>
      <c r="B65" s="14" t="str">
        <f>IF(Raw_data!B65="",NA(),Raw_data!B65)</f>
        <v>Nasal Spray</v>
      </c>
      <c r="C65" s="14" t="str">
        <f>IF(Raw_data!C65="",NA(),Raw_data!C65)</f>
        <v>Aman Verma</v>
      </c>
      <c r="D65" s="15">
        <f>IF(Raw_data!D65="",NA(),Raw_data!D65)</f>
        <v>11</v>
      </c>
      <c r="E65" s="16">
        <f>IF(Raw_data!E65="",NA(),Raw_data!E65)</f>
        <v>211.91</v>
      </c>
      <c r="F65" s="14" t="str">
        <f>IF(Raw_data!F65="",NA(),Raw_data!F65)</f>
        <v>USA</v>
      </c>
      <c r="G65">
        <f t="shared" si="0"/>
        <v>1</v>
      </c>
    </row>
    <row r="66" spans="1:7" x14ac:dyDescent="0.25">
      <c r="A66" s="1">
        <f>IF(Raw_data!A66="",NA(),Raw_data!A66)</f>
        <v>44778</v>
      </c>
      <c r="B66" s="14" t="str">
        <f>IF(Raw_data!B66="",NA(),Raw_data!B66)</f>
        <v>Cough Syrup</v>
      </c>
      <c r="C66" s="14" t="str">
        <f>IF(Raw_data!C66="",NA(),Raw_data!C66)</f>
        <v>Nikhil Batra</v>
      </c>
      <c r="D66" s="15">
        <f>IF(Raw_data!D66="",NA(),Raw_data!D66)</f>
        <v>2</v>
      </c>
      <c r="E66" s="16">
        <f>IF(Raw_data!E66="",NA(),Raw_data!E66)</f>
        <v>34.090000000000003</v>
      </c>
      <c r="F66" s="14" t="str">
        <f>IF(Raw_data!F66="",NA(),Raw_data!F66)</f>
        <v>USA</v>
      </c>
      <c r="G66">
        <f t="shared" ref="G66:G129" si="1">COUNTIFS(A:A,A66,B:B,B66,C:C,C66,D:D,D66,E:E,E66,F:F,F66)</f>
        <v>1</v>
      </c>
    </row>
    <row r="67" spans="1:7" x14ac:dyDescent="0.25">
      <c r="A67" s="1">
        <f>IF(Raw_data!A67="",NA(),Raw_data!A67)</f>
        <v>44758</v>
      </c>
      <c r="B67" s="14" t="str">
        <f>IF(Raw_data!B67="",NA(),Raw_data!B67)</f>
        <v>Nasal Spray</v>
      </c>
      <c r="C67" s="14" t="str">
        <f>IF(Raw_data!C67="",NA(),Raw_data!C67)</f>
        <v>Ritika Shah</v>
      </c>
      <c r="D67" s="15">
        <f>IF(Raw_data!D67="",NA(),Raw_data!D67)</f>
        <v>9</v>
      </c>
      <c r="E67" s="16">
        <f>IF(Raw_data!E67="",NA(),Raw_data!E67)</f>
        <v>158.69</v>
      </c>
      <c r="F67" s="14" t="str">
        <f>IF(Raw_data!F67="",NA(),Raw_data!F67)</f>
        <v>India</v>
      </c>
      <c r="G67">
        <f t="shared" si="1"/>
        <v>1</v>
      </c>
    </row>
    <row r="68" spans="1:7" x14ac:dyDescent="0.25">
      <c r="A68" s="1">
        <f>IF(Raw_data!A68="",NA(),Raw_data!A68)</f>
        <v>44704</v>
      </c>
      <c r="B68" s="14" t="str">
        <f>IF(Raw_data!B68="",NA(),Raw_data!B68)</f>
        <v>Nasal Spray</v>
      </c>
      <c r="C68" s="14" t="str">
        <f>IF(Raw_data!C68="",NA(),Raw_data!C68)</f>
        <v>Nikhil Batra</v>
      </c>
      <c r="D68" s="15">
        <f>IF(Raw_data!D68="",NA(),Raw_data!D68)</f>
        <v>15</v>
      </c>
      <c r="E68" s="16">
        <f>IF(Raw_data!E68="",NA(),Raw_data!E68)</f>
        <v>355.23</v>
      </c>
      <c r="F68" s="14" t="str">
        <f>IF(Raw_data!F68="",NA(),Raw_data!F68)</f>
        <v>Canada</v>
      </c>
      <c r="G68">
        <f t="shared" si="1"/>
        <v>1</v>
      </c>
    </row>
    <row r="69" spans="1:7" x14ac:dyDescent="0.25">
      <c r="A69" s="1">
        <f>IF(Raw_data!A69="",NA(),Raw_data!A69)</f>
        <v>44670</v>
      </c>
      <c r="B69" s="14" t="str">
        <f>IF(Raw_data!B69="",NA(),Raw_data!B69)</f>
        <v>Antiseptic Cream</v>
      </c>
      <c r="C69" s="14" t="str">
        <f>IF(Raw_data!C69="",NA(),Raw_data!C69)</f>
        <v>Ritika Shah</v>
      </c>
      <c r="D69" s="15">
        <f>IF(Raw_data!D69="",NA(),Raw_data!D69)</f>
        <v>9</v>
      </c>
      <c r="E69" s="16">
        <f>IF(Raw_data!E69="",NA(),Raw_data!E69)</f>
        <v>202.58</v>
      </c>
      <c r="F69" s="14" t="str">
        <f>IF(Raw_data!F69="",NA(),Raw_data!F69)</f>
        <v>Canada</v>
      </c>
      <c r="G69">
        <f t="shared" si="1"/>
        <v>1</v>
      </c>
    </row>
    <row r="70" spans="1:7" x14ac:dyDescent="0.25">
      <c r="A70" s="1">
        <f>IF(Raw_data!A70="",NA(),Raw_data!A70)</f>
        <v>44778</v>
      </c>
      <c r="B70" s="14" t="str">
        <f>IF(Raw_data!B70="",NA(),Raw_data!B70)</f>
        <v>Allergy Pills</v>
      </c>
      <c r="C70" s="14" t="str">
        <f>IF(Raw_data!C70="",NA(),Raw_data!C70)</f>
        <v>Nikhil Batra</v>
      </c>
      <c r="D70" s="15">
        <f>IF(Raw_data!D70="",NA(),Raw_data!D70)</f>
        <v>10</v>
      </c>
      <c r="E70" s="16">
        <f>IF(Raw_data!E70="",NA(),Raw_data!E70)</f>
        <v>245.9</v>
      </c>
      <c r="F70" s="14" t="str">
        <f>IF(Raw_data!F70="",NA(),Raw_data!F70)</f>
        <v>USA</v>
      </c>
      <c r="G70">
        <f t="shared" si="1"/>
        <v>1</v>
      </c>
    </row>
    <row r="71" spans="1:7" x14ac:dyDescent="0.25">
      <c r="A71" s="1">
        <f>IF(Raw_data!A71="",NA(),Raw_data!A71)</f>
        <v>44804</v>
      </c>
      <c r="B71" s="14" t="str">
        <f>IF(Raw_data!B71="",NA(),Raw_data!B71)</f>
        <v>Nasal Spray</v>
      </c>
      <c r="C71" s="14" t="str">
        <f>IF(Raw_data!C71="",NA(),Raw_data!C71)</f>
        <v>Ritika Shah</v>
      </c>
      <c r="D71" s="15">
        <f>IF(Raw_data!D71="",NA(),Raw_data!D71)</f>
        <v>12</v>
      </c>
      <c r="E71" s="16">
        <f>IF(Raw_data!E71="",NA(),Raw_data!E71)</f>
        <v>270.74</v>
      </c>
      <c r="F71" s="14" t="str">
        <f>IF(Raw_data!F71="",NA(),Raw_data!F71)</f>
        <v>Australia</v>
      </c>
      <c r="G71">
        <f t="shared" si="1"/>
        <v>1</v>
      </c>
    </row>
    <row r="72" spans="1:7" x14ac:dyDescent="0.25">
      <c r="A72" s="1">
        <f>IF(Raw_data!A72="",NA(),Raw_data!A72)</f>
        <v>44796</v>
      </c>
      <c r="B72" s="14" t="str">
        <f>IF(Raw_data!B72="",NA(),Raw_data!B72)</f>
        <v>Eye Drops</v>
      </c>
      <c r="C72" s="14" t="str">
        <f>IF(Raw_data!C72="",NA(),Raw_data!C72)</f>
        <v>Ritika Shah</v>
      </c>
      <c r="D72" s="15">
        <f>IF(Raw_data!D72="",NA(),Raw_data!D72)</f>
        <v>5</v>
      </c>
      <c r="E72" s="16">
        <f>IF(Raw_data!E72="",NA(),Raw_data!E72)</f>
        <v>88.84</v>
      </c>
      <c r="F72" s="14" t="str">
        <f>IF(Raw_data!F72="",NA(),Raw_data!F72)</f>
        <v>India</v>
      </c>
      <c r="G72">
        <f t="shared" si="1"/>
        <v>1</v>
      </c>
    </row>
    <row r="73" spans="1:7" x14ac:dyDescent="0.25">
      <c r="A73" s="1">
        <f>IF(Raw_data!A73="",NA(),Raw_data!A73)</f>
        <v>44627</v>
      </c>
      <c r="B73" s="14" t="str">
        <f>IF(Raw_data!B73="",NA(),Raw_data!B73)</f>
        <v>Cough Syrup</v>
      </c>
      <c r="C73" s="14" t="str">
        <f>IF(Raw_data!C73="",NA(),Raw_data!C73)</f>
        <v>Rajesh Patel</v>
      </c>
      <c r="D73" s="15">
        <f>IF(Raw_data!D73="",NA(),Raw_data!D73)</f>
        <v>20</v>
      </c>
      <c r="E73" s="16">
        <f>IF(Raw_data!E73="",NA(),Raw_data!E73)</f>
        <v>433.81</v>
      </c>
      <c r="F73" s="14" t="str">
        <f>IF(Raw_data!F73="",NA(),Raw_data!F73)</f>
        <v>USA</v>
      </c>
      <c r="G73">
        <f t="shared" si="1"/>
        <v>1</v>
      </c>
    </row>
    <row r="74" spans="1:7" x14ac:dyDescent="0.25">
      <c r="A74" s="1">
        <f>IF(Raw_data!A74="",NA(),Raw_data!A74)</f>
        <v>44767</v>
      </c>
      <c r="B74" s="14" t="str">
        <f>IF(Raw_data!B74="",NA(),Raw_data!B74)</f>
        <v>Antiseptic Cream</v>
      </c>
      <c r="C74" s="14" t="str">
        <f>IF(Raw_data!C74="",NA(),Raw_data!C74)</f>
        <v>Divya Mehra</v>
      </c>
      <c r="D74" s="15">
        <f>IF(Raw_data!D74="",NA(),Raw_data!D74)</f>
        <v>2</v>
      </c>
      <c r="E74" s="16">
        <f>IF(Raw_data!E74="",NA(),Raw_data!E74)</f>
        <v>29.63</v>
      </c>
      <c r="F74" s="14" t="str">
        <f>IF(Raw_data!F74="",NA(),Raw_data!F74)</f>
        <v>Australia</v>
      </c>
      <c r="G74">
        <f t="shared" si="1"/>
        <v>1</v>
      </c>
    </row>
    <row r="75" spans="1:7" x14ac:dyDescent="0.25">
      <c r="A75" s="1">
        <f>IF(Raw_data!A75="",NA(),Raw_data!A75)</f>
        <v>44601</v>
      </c>
      <c r="B75" s="14" t="str">
        <f>IF(Raw_data!B75="",NA(),Raw_data!B75)</f>
        <v>Eye Drops</v>
      </c>
      <c r="C75" s="14" t="str">
        <f>IF(Raw_data!C75="",NA(),Raw_data!C75)</f>
        <v>Rajesh Patel</v>
      </c>
      <c r="D75" s="15">
        <f>IF(Raw_data!D75="",NA(),Raw_data!D75)</f>
        <v>15</v>
      </c>
      <c r="E75" s="16">
        <f>IF(Raw_data!E75="",NA(),Raw_data!E75)</f>
        <v>334.05</v>
      </c>
      <c r="F75" s="14" t="str">
        <f>IF(Raw_data!F75="",NA(),Raw_data!F75)</f>
        <v>Canada</v>
      </c>
      <c r="G75">
        <f t="shared" si="1"/>
        <v>1</v>
      </c>
    </row>
    <row r="76" spans="1:7" x14ac:dyDescent="0.25">
      <c r="A76" s="1">
        <f>IF(Raw_data!A76="",NA(),Raw_data!A76)</f>
        <v>44620</v>
      </c>
      <c r="B76" s="14" t="str">
        <f>IF(Raw_data!B76="",NA(),Raw_data!B76)</f>
        <v>Nasal Spray</v>
      </c>
      <c r="C76" s="14" t="str">
        <f>IF(Raw_data!C76="",NA(),Raw_data!C76)</f>
        <v>Ritika Shah</v>
      </c>
      <c r="D76" s="15">
        <f>IF(Raw_data!D76="",NA(),Raw_data!D76)</f>
        <v>4</v>
      </c>
      <c r="E76" s="16">
        <f>IF(Raw_data!E76="",NA(),Raw_data!E76)</f>
        <v>52.1</v>
      </c>
      <c r="F76" s="14" t="str">
        <f>IF(Raw_data!F76="",NA(),Raw_data!F76)</f>
        <v>India</v>
      </c>
      <c r="G76">
        <f t="shared" si="1"/>
        <v>1</v>
      </c>
    </row>
    <row r="77" spans="1:7" x14ac:dyDescent="0.25">
      <c r="A77" s="1">
        <f>IF(Raw_data!A77="",NA(),Raw_data!A77)</f>
        <v>44704</v>
      </c>
      <c r="B77" s="14" t="str">
        <f>IF(Raw_data!B77="",NA(),Raw_data!B77)</f>
        <v>Antiseptic Cream</v>
      </c>
      <c r="C77" s="14" t="str">
        <f>IF(Raw_data!C77="",NA(),Raw_data!C77)</f>
        <v>Ritika Shah</v>
      </c>
      <c r="D77" s="15">
        <f>IF(Raw_data!D77="",NA(),Raw_data!D77)</f>
        <v>6</v>
      </c>
      <c r="E77" s="16">
        <f>IF(Raw_data!E77="",NA(),Raw_data!E77)</f>
        <v>51.97</v>
      </c>
      <c r="F77" s="14" t="str">
        <f>IF(Raw_data!F77="",NA(),Raw_data!F77)</f>
        <v>UK</v>
      </c>
      <c r="G77">
        <f t="shared" si="1"/>
        <v>1</v>
      </c>
    </row>
    <row r="78" spans="1:7" x14ac:dyDescent="0.25">
      <c r="A78" s="1">
        <f>IF(Raw_data!A78="",NA(),Raw_data!A78)</f>
        <v>44773</v>
      </c>
      <c r="B78" s="14" t="str">
        <f>IF(Raw_data!B78="",NA(),Raw_data!B78)</f>
        <v>Antiseptic Cream</v>
      </c>
      <c r="C78" s="14" t="str">
        <f>IF(Raw_data!C78="",NA(),Raw_data!C78)</f>
        <v>Priya Singh</v>
      </c>
      <c r="D78" s="15">
        <f>IF(Raw_data!D78="",NA(),Raw_data!D78)</f>
        <v>14</v>
      </c>
      <c r="E78" s="16">
        <f>IF(Raw_data!E78="",NA(),Raw_data!E78)</f>
        <v>324.2</v>
      </c>
      <c r="F78" s="14" t="str">
        <f>IF(Raw_data!F78="",NA(),Raw_data!F78)</f>
        <v>USA</v>
      </c>
      <c r="G78">
        <f t="shared" si="1"/>
        <v>1</v>
      </c>
    </row>
    <row r="79" spans="1:7" x14ac:dyDescent="0.25">
      <c r="A79" s="1">
        <f>IF(Raw_data!A79="",NA(),Raw_data!A79)</f>
        <v>44707</v>
      </c>
      <c r="B79" s="14" t="str">
        <f>IF(Raw_data!B79="",NA(),Raw_data!B79)</f>
        <v>Nasal Spray</v>
      </c>
      <c r="C79" s="14" t="str">
        <f>IF(Raw_data!C79="",NA(),Raw_data!C79)</f>
        <v>Aman Verma</v>
      </c>
      <c r="D79" s="15">
        <f>IF(Raw_data!D79="",NA(),Raw_data!D79)</f>
        <v>9</v>
      </c>
      <c r="E79" s="16">
        <f>IF(Raw_data!E79="",NA(),Raw_data!E79)</f>
        <v>155.31</v>
      </c>
      <c r="F79" s="14" t="str">
        <f>IF(Raw_data!F79="",NA(),Raw_data!F79)</f>
        <v>UK</v>
      </c>
      <c r="G79">
        <f t="shared" si="1"/>
        <v>1</v>
      </c>
    </row>
    <row r="80" spans="1:7" x14ac:dyDescent="0.25">
      <c r="A80" s="1">
        <f>IF(Raw_data!A80="",NA(),Raw_data!A80)</f>
        <v>44617</v>
      </c>
      <c r="B80" s="14" t="str">
        <f>IF(Raw_data!B80="",NA(),Raw_data!B80)</f>
        <v>Nasal Spray</v>
      </c>
      <c r="C80" s="14" t="str">
        <f>IF(Raw_data!C80="",NA(),Raw_data!C80)</f>
        <v>Priya Singh</v>
      </c>
      <c r="D80" s="15">
        <f>IF(Raw_data!D80="",NA(),Raw_data!D80)</f>
        <v>13</v>
      </c>
      <c r="E80" s="16">
        <f>IF(Raw_data!E80="",NA(),Raw_data!E80)</f>
        <v>205.85</v>
      </c>
      <c r="F80" s="14" t="str">
        <f>IF(Raw_data!F80="",NA(),Raw_data!F80)</f>
        <v>UK</v>
      </c>
      <c r="G80">
        <f t="shared" si="1"/>
        <v>1</v>
      </c>
    </row>
    <row r="81" spans="1:7" x14ac:dyDescent="0.25">
      <c r="A81" s="1">
        <f>IF(Raw_data!A81="",NA(),Raw_data!A81)</f>
        <v>44656</v>
      </c>
      <c r="B81" s="14" t="str">
        <f>IF(Raw_data!B81="",NA(),Raw_data!B81)</f>
        <v>Pain Relief Tablets</v>
      </c>
      <c r="C81" s="14" t="str">
        <f>IF(Raw_data!C81="",NA(),Raw_data!C81)</f>
        <v>Divya Mehra</v>
      </c>
      <c r="D81" s="15">
        <f>IF(Raw_data!D81="",NA(),Raw_data!D81)</f>
        <v>4</v>
      </c>
      <c r="E81" s="16">
        <f>IF(Raw_data!E81="",NA(),Raw_data!E81)</f>
        <v>64.28</v>
      </c>
      <c r="F81" s="14" t="str">
        <f>IF(Raw_data!F81="",NA(),Raw_data!F81)</f>
        <v>UK</v>
      </c>
      <c r="G81">
        <f t="shared" si="1"/>
        <v>1</v>
      </c>
    </row>
    <row r="82" spans="1:7" x14ac:dyDescent="0.25">
      <c r="A82" s="1">
        <f>IF(Raw_data!A82="",NA(),Raw_data!A82)</f>
        <v>44733</v>
      </c>
      <c r="B82" s="14" t="str">
        <f>IF(Raw_data!B82="",NA(),Raw_data!B82)</f>
        <v>Allergy Pills</v>
      </c>
      <c r="C82" s="14" t="str">
        <f>IF(Raw_data!C82="",NA(),Raw_data!C82)</f>
        <v>Priya Singh</v>
      </c>
      <c r="D82" s="15">
        <f>IF(Raw_data!D82="",NA(),Raw_data!D82)</f>
        <v>1</v>
      </c>
      <c r="E82" s="16">
        <f>IF(Raw_data!E82="",NA(),Raw_data!E82)</f>
        <v>8.09</v>
      </c>
      <c r="F82" s="14" t="str">
        <f>IF(Raw_data!F82="",NA(),Raw_data!F82)</f>
        <v>India</v>
      </c>
      <c r="G82">
        <f t="shared" si="1"/>
        <v>1</v>
      </c>
    </row>
    <row r="83" spans="1:7" x14ac:dyDescent="0.25">
      <c r="A83" s="1">
        <f>IF(Raw_data!A83="",NA(),Raw_data!A83)</f>
        <v>44775</v>
      </c>
      <c r="B83" s="14" t="str">
        <f>IF(Raw_data!B83="",NA(),Raw_data!B83)</f>
        <v>Digestive Enzyme</v>
      </c>
      <c r="C83" s="14" t="str">
        <f>IF(Raw_data!C83="",NA(),Raw_data!C83)</f>
        <v>Ritika Shah</v>
      </c>
      <c r="D83" s="15">
        <f>IF(Raw_data!D83="",NA(),Raw_data!D83)</f>
        <v>10</v>
      </c>
      <c r="E83" s="16">
        <f>IF(Raw_data!E83="",NA(),Raw_data!E83)</f>
        <v>213.75</v>
      </c>
      <c r="F83" s="14" t="str">
        <f>IF(Raw_data!F83="",NA(),Raw_data!F83)</f>
        <v>Canada</v>
      </c>
      <c r="G83">
        <f t="shared" si="1"/>
        <v>1</v>
      </c>
    </row>
    <row r="84" spans="1:7" x14ac:dyDescent="0.25">
      <c r="A84" s="1">
        <f>IF(Raw_data!A84="",NA(),Raw_data!A84)</f>
        <v>44671</v>
      </c>
      <c r="B84" s="14" t="str">
        <f>IF(Raw_data!B84="",NA(),Raw_data!B84)</f>
        <v>Pain Relief Tablets</v>
      </c>
      <c r="C84" s="14" t="str">
        <f>IF(Raw_data!C84="",NA(),Raw_data!C84)</f>
        <v>Rajesh Patel</v>
      </c>
      <c r="D84" s="15">
        <f>IF(Raw_data!D84="",NA(),Raw_data!D84)</f>
        <v>18</v>
      </c>
      <c r="E84" s="16">
        <f>IF(Raw_data!E84="",NA(),Raw_data!E84)</f>
        <v>244.76</v>
      </c>
      <c r="F84" s="14" t="str">
        <f>IF(Raw_data!F84="",NA(),Raw_data!F84)</f>
        <v>India</v>
      </c>
      <c r="G84">
        <f t="shared" si="1"/>
        <v>1</v>
      </c>
    </row>
    <row r="85" spans="1:7" x14ac:dyDescent="0.25">
      <c r="A85" s="1">
        <f>IF(Raw_data!A85="",NA(),Raw_data!A85)</f>
        <v>44678</v>
      </c>
      <c r="B85" s="14" t="str">
        <f>IF(Raw_data!B85="",NA(),Raw_data!B85)</f>
        <v>Antiseptic Cream</v>
      </c>
      <c r="C85" s="14" t="str">
        <f>IF(Raw_data!C85="",NA(),Raw_data!C85)</f>
        <v>Nikhil Batra</v>
      </c>
      <c r="D85" s="15">
        <f>IF(Raw_data!D85="",NA(),Raw_data!D85)</f>
        <v>19</v>
      </c>
      <c r="E85" s="16">
        <f>IF(Raw_data!E85="",NA(),Raw_data!E85)</f>
        <v>316.79000000000002</v>
      </c>
      <c r="F85" s="14" t="str">
        <f>IF(Raw_data!F85="",NA(),Raw_data!F85)</f>
        <v>India</v>
      </c>
      <c r="G85">
        <f t="shared" si="1"/>
        <v>1</v>
      </c>
    </row>
    <row r="86" spans="1:7" x14ac:dyDescent="0.25">
      <c r="A86" s="1">
        <f>IF(Raw_data!A86="",NA(),Raw_data!A86)</f>
        <v>44742</v>
      </c>
      <c r="B86" s="14" t="str">
        <f>IF(Raw_data!B86="",NA(),Raw_data!B86)</f>
        <v>Allergy Pills</v>
      </c>
      <c r="C86" s="14" t="str">
        <f>IF(Raw_data!C86="",NA(),Raw_data!C86)</f>
        <v>Nikhil Batra</v>
      </c>
      <c r="D86" s="15">
        <f>IF(Raw_data!D86="",NA(),Raw_data!D86)</f>
        <v>20</v>
      </c>
      <c r="E86" s="16">
        <f>IF(Raw_data!E86="",NA(),Raw_data!E86)</f>
        <v>219.72</v>
      </c>
      <c r="F86" s="14" t="str">
        <f>IF(Raw_data!F86="",NA(),Raw_data!F86)</f>
        <v>USA</v>
      </c>
      <c r="G86">
        <f t="shared" si="1"/>
        <v>1</v>
      </c>
    </row>
    <row r="87" spans="1:7" x14ac:dyDescent="0.25">
      <c r="A87" s="1">
        <f>IF(Raw_data!A87="",NA(),Raw_data!A87)</f>
        <v>44627</v>
      </c>
      <c r="B87" s="14" t="str">
        <f>IF(Raw_data!B87="",NA(),Raw_data!B87)</f>
        <v>Digestive Enzyme</v>
      </c>
      <c r="C87" s="14" t="str">
        <f>IF(Raw_data!C87="",NA(),Raw_data!C87)</f>
        <v>Ritika Shah</v>
      </c>
      <c r="D87" s="15">
        <f>IF(Raw_data!D87="",NA(),Raw_data!D87)</f>
        <v>18</v>
      </c>
      <c r="E87" s="16">
        <f>IF(Raw_data!E87="",NA(),Raw_data!E87)</f>
        <v>371.23</v>
      </c>
      <c r="F87" s="14" t="str">
        <f>IF(Raw_data!F87="",NA(),Raw_data!F87)</f>
        <v>India</v>
      </c>
      <c r="G87">
        <f t="shared" si="1"/>
        <v>1</v>
      </c>
    </row>
    <row r="88" spans="1:7" x14ac:dyDescent="0.25">
      <c r="A88" s="1">
        <f>IF(Raw_data!A88="",NA(),Raw_data!A88)</f>
        <v>44702</v>
      </c>
      <c r="B88" s="14" t="str">
        <f>IF(Raw_data!B88="",NA(),Raw_data!B88)</f>
        <v>Digestive Enzyme</v>
      </c>
      <c r="C88" s="14" t="str">
        <f>IF(Raw_data!C88="",NA(),Raw_data!C88)</f>
        <v>Priya Singh</v>
      </c>
      <c r="D88" s="15">
        <f>IF(Raw_data!D88="",NA(),Raw_data!D88)</f>
        <v>12</v>
      </c>
      <c r="E88" s="16">
        <f>IF(Raw_data!E88="",NA(),Raw_data!E88)</f>
        <v>242.44</v>
      </c>
      <c r="F88" s="14" t="str">
        <f>IF(Raw_data!F88="",NA(),Raw_data!F88)</f>
        <v>USA</v>
      </c>
      <c r="G88">
        <f t="shared" si="1"/>
        <v>1</v>
      </c>
    </row>
    <row r="89" spans="1:7" x14ac:dyDescent="0.25">
      <c r="A89" s="1">
        <f>IF(Raw_data!A89="",NA(),Raw_data!A89)</f>
        <v>44745</v>
      </c>
      <c r="B89" s="14" t="str">
        <f>IF(Raw_data!B89="",NA(),Raw_data!B89)</f>
        <v>Cough Syrup</v>
      </c>
      <c r="C89" s="14" t="str">
        <f>IF(Raw_data!C89="",NA(),Raw_data!C89)</f>
        <v>Priya Singh</v>
      </c>
      <c r="D89" s="15">
        <f>IF(Raw_data!D89="",NA(),Raw_data!D89)</f>
        <v>18</v>
      </c>
      <c r="E89" s="16">
        <f>IF(Raw_data!E89="",NA(),Raw_data!E89)</f>
        <v>214.09</v>
      </c>
      <c r="F89" s="14" t="str">
        <f>IF(Raw_data!F89="",NA(),Raw_data!F89)</f>
        <v>UK</v>
      </c>
      <c r="G89">
        <f t="shared" si="1"/>
        <v>1</v>
      </c>
    </row>
    <row r="90" spans="1:7" x14ac:dyDescent="0.25">
      <c r="A90" s="1">
        <f>IF(Raw_data!A90="",NA(),Raw_data!A90)</f>
        <v>44633</v>
      </c>
      <c r="B90" s="14" t="str">
        <f>IF(Raw_data!B90="",NA(),Raw_data!B90)</f>
        <v>Antiseptic Cream</v>
      </c>
      <c r="C90" s="14" t="str">
        <f>IF(Raw_data!C90="",NA(),Raw_data!C90)</f>
        <v>Aman Verma</v>
      </c>
      <c r="D90" s="15">
        <f>IF(Raw_data!D90="",NA(),Raw_data!D90)</f>
        <v>20</v>
      </c>
      <c r="E90" s="16">
        <f>IF(Raw_data!E90="",NA(),Raw_data!E90)</f>
        <v>183.48</v>
      </c>
      <c r="F90" s="14" t="str">
        <f>IF(Raw_data!F90="",NA(),Raw_data!F90)</f>
        <v>India</v>
      </c>
      <c r="G90">
        <f t="shared" si="1"/>
        <v>1</v>
      </c>
    </row>
    <row r="91" spans="1:7" x14ac:dyDescent="0.25">
      <c r="A91" s="1">
        <f>IF(Raw_data!A91="",NA(),Raw_data!A91)</f>
        <v>44722</v>
      </c>
      <c r="B91" s="14" t="str">
        <f>IF(Raw_data!B91="",NA(),Raw_data!B91)</f>
        <v>Pain Relief Tablets</v>
      </c>
      <c r="C91" s="14" t="str">
        <f>IF(Raw_data!C91="",NA(),Raw_data!C91)</f>
        <v>Rajesh Patel</v>
      </c>
      <c r="D91" s="15">
        <f>IF(Raw_data!D91="",NA(),Raw_data!D91)</f>
        <v>11</v>
      </c>
      <c r="E91" s="16">
        <f>IF(Raw_data!E91="",NA(),Raw_data!E91)</f>
        <v>272.97000000000003</v>
      </c>
      <c r="F91" s="14" t="str">
        <f>IF(Raw_data!F91="",NA(),Raw_data!F91)</f>
        <v>Australia</v>
      </c>
      <c r="G91">
        <f t="shared" si="1"/>
        <v>1</v>
      </c>
    </row>
    <row r="92" spans="1:7" x14ac:dyDescent="0.25">
      <c r="A92" s="1">
        <f>IF(Raw_data!A92="",NA(),Raw_data!A92)</f>
        <v>44597</v>
      </c>
      <c r="B92" s="14" t="str">
        <f>IF(Raw_data!B92="",NA(),Raw_data!B92)</f>
        <v>Cough Syrup</v>
      </c>
      <c r="C92" s="14" t="str">
        <f>IF(Raw_data!C92="",NA(),Raw_data!C92)</f>
        <v>Ritika Shah</v>
      </c>
      <c r="D92" s="15">
        <f>IF(Raw_data!D92="",NA(),Raw_data!D92)</f>
        <v>13</v>
      </c>
      <c r="E92" s="16">
        <f>IF(Raw_data!E92="",NA(),Raw_data!E92)</f>
        <v>129.30000000000001</v>
      </c>
      <c r="F92" s="14" t="str">
        <f>IF(Raw_data!F92="",NA(),Raw_data!F92)</f>
        <v>UK</v>
      </c>
      <c r="G92">
        <f t="shared" si="1"/>
        <v>1</v>
      </c>
    </row>
    <row r="93" spans="1:7" x14ac:dyDescent="0.25">
      <c r="A93" s="1">
        <f>IF(Raw_data!A93="",NA(),Raw_data!A93)</f>
        <v>44704</v>
      </c>
      <c r="B93" s="14" t="str">
        <f>IF(Raw_data!B93="",NA(),Raw_data!B93)</f>
        <v>Digestive Enzyme</v>
      </c>
      <c r="C93" s="14" t="str">
        <f>IF(Raw_data!C93="",NA(),Raw_data!C93)</f>
        <v>Ritika Shah</v>
      </c>
      <c r="D93" s="15">
        <f>IF(Raw_data!D93="",NA(),Raw_data!D93)</f>
        <v>5</v>
      </c>
      <c r="E93" s="16">
        <f>IF(Raw_data!E93="",NA(),Raw_data!E93)</f>
        <v>59.7</v>
      </c>
      <c r="F93" s="14" t="str">
        <f>IF(Raw_data!F93="",NA(),Raw_data!F93)</f>
        <v>UK</v>
      </c>
      <c r="G93">
        <f t="shared" si="1"/>
        <v>1</v>
      </c>
    </row>
    <row r="94" spans="1:7" x14ac:dyDescent="0.25">
      <c r="A94" s="1">
        <f>IF(Raw_data!A94="",NA(),Raw_data!A94)</f>
        <v>44784</v>
      </c>
      <c r="B94" s="14" t="str">
        <f>IF(Raw_data!B94="",NA(),Raw_data!B94)</f>
        <v>Cough Syrup</v>
      </c>
      <c r="C94" s="14" t="str">
        <f>IF(Raw_data!C94="",NA(),Raw_data!C94)</f>
        <v>Priya Singh</v>
      </c>
      <c r="D94" s="15">
        <f>IF(Raw_data!D94="",NA(),Raw_data!D94)</f>
        <v>20</v>
      </c>
      <c r="E94" s="16">
        <f>IF(Raw_data!E94="",NA(),Raw_data!E94)</f>
        <v>210.82</v>
      </c>
      <c r="F94" s="14" t="str">
        <f>IF(Raw_data!F94="",NA(),Raw_data!F94)</f>
        <v>UK</v>
      </c>
      <c r="G94">
        <f t="shared" si="1"/>
        <v>1</v>
      </c>
    </row>
    <row r="95" spans="1:7" x14ac:dyDescent="0.25">
      <c r="A95" s="1">
        <f>IF(Raw_data!A95="",NA(),Raw_data!A95)</f>
        <v>44633</v>
      </c>
      <c r="B95" s="14" t="str">
        <f>IF(Raw_data!B95="",NA(),Raw_data!B95)</f>
        <v>Pain Relief Tablets</v>
      </c>
      <c r="C95" s="14" t="str">
        <f>IF(Raw_data!C95="",NA(),Raw_data!C95)</f>
        <v>Divya Mehra</v>
      </c>
      <c r="D95" s="15">
        <f>IF(Raw_data!D95="",NA(),Raw_data!D95)</f>
        <v>6</v>
      </c>
      <c r="E95" s="16">
        <f>IF(Raw_data!E95="",NA(),Raw_data!E95)</f>
        <v>115.79</v>
      </c>
      <c r="F95" s="14" t="str">
        <f>IF(Raw_data!F95="",NA(),Raw_data!F95)</f>
        <v>Canada</v>
      </c>
      <c r="G95">
        <f t="shared" si="1"/>
        <v>1</v>
      </c>
    </row>
    <row r="96" spans="1:7" x14ac:dyDescent="0.25">
      <c r="A96" s="1">
        <f>IF(Raw_data!A96="",NA(),Raw_data!A96)</f>
        <v>44718</v>
      </c>
      <c r="B96" s="14" t="str">
        <f>IF(Raw_data!B96="",NA(),Raw_data!B96)</f>
        <v>Antiseptic Cream</v>
      </c>
      <c r="C96" s="14" t="str">
        <f>IF(Raw_data!C96="",NA(),Raw_data!C96)</f>
        <v>Rajesh Patel</v>
      </c>
      <c r="D96" s="15">
        <f>IF(Raw_data!D96="",NA(),Raw_data!D96)</f>
        <v>18</v>
      </c>
      <c r="E96" s="16">
        <f>IF(Raw_data!E96="",NA(),Raw_data!E96)</f>
        <v>322.41000000000003</v>
      </c>
      <c r="F96" s="14" t="str">
        <f>IF(Raw_data!F96="",NA(),Raw_data!F96)</f>
        <v>UK</v>
      </c>
      <c r="G96">
        <f t="shared" si="1"/>
        <v>1</v>
      </c>
    </row>
    <row r="97" spans="1:7" x14ac:dyDescent="0.25">
      <c r="A97" s="1">
        <f>IF(Raw_data!A97="",NA(),Raw_data!A97)</f>
        <v>44762</v>
      </c>
      <c r="B97" s="14" t="str">
        <f>IF(Raw_data!B97="",NA(),Raw_data!B97)</f>
        <v>Antiseptic Cream</v>
      </c>
      <c r="C97" s="14" t="str">
        <f>IF(Raw_data!C97="",NA(),Raw_data!C97)</f>
        <v>Divya Mehra</v>
      </c>
      <c r="D97" s="15">
        <f>IF(Raw_data!D97="",NA(),Raw_data!D97)</f>
        <v>4</v>
      </c>
      <c r="E97" s="16">
        <f>IF(Raw_data!E97="",NA(),Raw_data!E97)</f>
        <v>73.39</v>
      </c>
      <c r="F97" s="14" t="str">
        <f>IF(Raw_data!F97="",NA(),Raw_data!F97)</f>
        <v>UK</v>
      </c>
      <c r="G97">
        <f t="shared" si="1"/>
        <v>1</v>
      </c>
    </row>
    <row r="98" spans="1:7" x14ac:dyDescent="0.25">
      <c r="A98" s="1">
        <f>IF(Raw_data!A98="",NA(),Raw_data!A98)</f>
        <v>44718</v>
      </c>
      <c r="B98" s="14" t="str">
        <f>IF(Raw_data!B98="",NA(),Raw_data!B98)</f>
        <v>Nasal Spray</v>
      </c>
      <c r="C98" s="14" t="str">
        <f>IF(Raw_data!C98="",NA(),Raw_data!C98)</f>
        <v>Nikhil Batra</v>
      </c>
      <c r="D98" s="15">
        <f>IF(Raw_data!D98="",NA(),Raw_data!D98)</f>
        <v>4</v>
      </c>
      <c r="E98" s="16">
        <f>IF(Raw_data!E98="",NA(),Raw_data!E98)</f>
        <v>50.12</v>
      </c>
      <c r="F98" s="14" t="str">
        <f>IF(Raw_data!F98="",NA(),Raw_data!F98)</f>
        <v>USA</v>
      </c>
      <c r="G98">
        <f t="shared" si="1"/>
        <v>1</v>
      </c>
    </row>
    <row r="99" spans="1:7" x14ac:dyDescent="0.25">
      <c r="A99" s="1">
        <f>IF(Raw_data!A99="",NA(),Raw_data!A99)</f>
        <v>44619</v>
      </c>
      <c r="B99" s="14" t="str">
        <f>IF(Raw_data!B99="",NA(),Raw_data!B99)</f>
        <v>Allergy Pills</v>
      </c>
      <c r="C99" s="14" t="str">
        <f>IF(Raw_data!C99="",NA(),Raw_data!C99)</f>
        <v>Aman Verma</v>
      </c>
      <c r="D99" s="15">
        <f>IF(Raw_data!D99="",NA(),Raw_data!D99)</f>
        <v>3</v>
      </c>
      <c r="E99" s="16">
        <f>IF(Raw_data!E99="",NA(),Raw_data!E99)</f>
        <v>45.16</v>
      </c>
      <c r="F99" s="14" t="str">
        <f>IF(Raw_data!F99="",NA(),Raw_data!F99)</f>
        <v>UK</v>
      </c>
      <c r="G99">
        <f t="shared" si="1"/>
        <v>1</v>
      </c>
    </row>
    <row r="100" spans="1:7" x14ac:dyDescent="0.25">
      <c r="A100" s="1">
        <f>IF(Raw_data!A100="",NA(),Raw_data!A100)</f>
        <v>44801</v>
      </c>
      <c r="B100" s="14" t="str">
        <f>IF(Raw_data!B100="",NA(),Raw_data!B100)</f>
        <v>Digestive Enzyme</v>
      </c>
      <c r="C100" s="14" t="str">
        <f>IF(Raw_data!C100="",NA(),Raw_data!C100)</f>
        <v>Divya Mehra</v>
      </c>
      <c r="D100" s="15">
        <f>IF(Raw_data!D100="",NA(),Raw_data!D100)</f>
        <v>16</v>
      </c>
      <c r="E100" s="16">
        <f>IF(Raw_data!E100="",NA(),Raw_data!E100)</f>
        <v>212.81</v>
      </c>
      <c r="F100" s="14" t="str">
        <f>IF(Raw_data!F100="",NA(),Raw_data!F100)</f>
        <v>Canada</v>
      </c>
      <c r="G100">
        <f t="shared" si="1"/>
        <v>1</v>
      </c>
    </row>
    <row r="101" spans="1:7" x14ac:dyDescent="0.25">
      <c r="A101" s="1">
        <f>IF(Raw_data!A101="",NA(),Raw_data!A101)</f>
        <v>44693</v>
      </c>
      <c r="B101" s="14" t="str">
        <f>IF(Raw_data!B101="",NA(),Raw_data!B101)</f>
        <v>Allergy Pills</v>
      </c>
      <c r="C101" s="14" t="str">
        <f>IF(Raw_data!C101="",NA(),Raw_data!C101)</f>
        <v>Priya Singh</v>
      </c>
      <c r="D101" s="15">
        <f>IF(Raw_data!D101="",NA(),Raw_data!D101)</f>
        <v>19</v>
      </c>
      <c r="E101" s="16">
        <f>IF(Raw_data!E101="",NA(),Raw_data!E101)</f>
        <v>192.59</v>
      </c>
      <c r="F101" s="14" t="str">
        <f>IF(Raw_data!F101="",NA(),Raw_data!F101)</f>
        <v>USA</v>
      </c>
      <c r="G101">
        <f t="shared" si="1"/>
        <v>1</v>
      </c>
    </row>
    <row r="102" spans="1:7" x14ac:dyDescent="0.25">
      <c r="A102" s="1">
        <f>IF(Raw_data!A102="",NA(),Raw_data!A102)</f>
        <v>44715</v>
      </c>
      <c r="B102" s="14" t="str">
        <f>IF(Raw_data!B102="",NA(),Raw_data!B102)</f>
        <v>Allergy Pills</v>
      </c>
      <c r="C102" s="14" t="str">
        <f>IF(Raw_data!C102="",NA(),Raw_data!C102)</f>
        <v>Nikhil Batra</v>
      </c>
      <c r="D102" s="15">
        <f>IF(Raw_data!D102="",NA(),Raw_data!D102)</f>
        <v>2</v>
      </c>
      <c r="E102" s="16">
        <f>IF(Raw_data!E102="",NA(),Raw_data!E102)</f>
        <v>36.56</v>
      </c>
      <c r="F102" s="14" t="str">
        <f>IF(Raw_data!F102="",NA(),Raw_data!F102)</f>
        <v>USA</v>
      </c>
      <c r="G102">
        <f t="shared" si="1"/>
        <v>1</v>
      </c>
    </row>
    <row r="103" spans="1:7" x14ac:dyDescent="0.25">
      <c r="A103" s="1">
        <f>IF(Raw_data!A103="",NA(),Raw_data!A103)</f>
        <v>44631</v>
      </c>
      <c r="B103" s="14" t="str">
        <f>IF(Raw_data!B103="",NA(),Raw_data!B103)</f>
        <v>Cough Syrup</v>
      </c>
      <c r="C103" s="14" t="str">
        <f>IF(Raw_data!C103="",NA(),Raw_data!C103)</f>
        <v>Priya Singh</v>
      </c>
      <c r="D103" s="15">
        <f>IF(Raw_data!D103="",NA(),Raw_data!D103)</f>
        <v>15</v>
      </c>
      <c r="E103" s="16">
        <f>IF(Raw_data!E103="",NA(),Raw_data!E103)</f>
        <v>244.66</v>
      </c>
      <c r="F103" s="14" t="str">
        <f>IF(Raw_data!F103="",NA(),Raw_data!F103)</f>
        <v>Canada</v>
      </c>
      <c r="G103">
        <f t="shared" si="1"/>
        <v>1</v>
      </c>
    </row>
    <row r="104" spans="1:7" x14ac:dyDescent="0.25">
      <c r="A104" s="1">
        <f>IF(Raw_data!A104="",NA(),Raw_data!A104)</f>
        <v>44709</v>
      </c>
      <c r="B104" s="14" t="str">
        <f>IF(Raw_data!B104="",NA(),Raw_data!B104)</f>
        <v>Digestive Enzyme</v>
      </c>
      <c r="C104" s="14" t="str">
        <f>IF(Raw_data!C104="",NA(),Raw_data!C104)</f>
        <v>Sneha Iyer</v>
      </c>
      <c r="D104" s="15">
        <f>IF(Raw_data!D104="",NA(),Raw_data!D104)</f>
        <v>17</v>
      </c>
      <c r="E104" s="16">
        <f>IF(Raw_data!E104="",NA(),Raw_data!E104)</f>
        <v>281.12</v>
      </c>
      <c r="F104" s="14" t="str">
        <f>IF(Raw_data!F104="",NA(),Raw_data!F104)</f>
        <v>UK</v>
      </c>
      <c r="G104">
        <f t="shared" si="1"/>
        <v>1</v>
      </c>
    </row>
    <row r="105" spans="1:7" x14ac:dyDescent="0.25">
      <c r="A105" s="1">
        <f>IF(Raw_data!A105="",NA(),Raw_data!A105)</f>
        <v>44571</v>
      </c>
      <c r="B105" s="14" t="str">
        <f>IF(Raw_data!B105="",NA(),Raw_data!B105)</f>
        <v>Nasal Spray</v>
      </c>
      <c r="C105" s="14" t="str">
        <f>IF(Raw_data!C105="",NA(),Raw_data!C105)</f>
        <v>Aman Verma</v>
      </c>
      <c r="D105" s="15">
        <f>IF(Raw_data!D105="",NA(),Raw_data!D105)</f>
        <v>19</v>
      </c>
      <c r="E105" s="16">
        <f>IF(Raw_data!E105="",NA(),Raw_data!E105)</f>
        <v>161.94999999999999</v>
      </c>
      <c r="F105" s="14" t="str">
        <f>IF(Raw_data!F105="",NA(),Raw_data!F105)</f>
        <v>UK</v>
      </c>
      <c r="G105">
        <f t="shared" si="1"/>
        <v>1</v>
      </c>
    </row>
    <row r="106" spans="1:7" x14ac:dyDescent="0.25">
      <c r="A106" s="1">
        <f>IF(Raw_data!A106="",NA(),Raw_data!A106)</f>
        <v>44582</v>
      </c>
      <c r="B106" s="14" t="str">
        <f>IF(Raw_data!B106="",NA(),Raw_data!B106)</f>
        <v>Pain Relief Tablets</v>
      </c>
      <c r="C106" s="14" t="str">
        <f>IF(Raw_data!C106="",NA(),Raw_data!C106)</f>
        <v>Ritika Shah</v>
      </c>
      <c r="D106" s="15">
        <f>IF(Raw_data!D106="",NA(),Raw_data!D106)</f>
        <v>9</v>
      </c>
      <c r="E106" s="16">
        <f>IF(Raw_data!E106="",NA(),Raw_data!E106)</f>
        <v>180.5</v>
      </c>
      <c r="F106" s="14" t="str">
        <f>IF(Raw_data!F106="",NA(),Raw_data!F106)</f>
        <v>Canada</v>
      </c>
      <c r="G106">
        <f t="shared" si="1"/>
        <v>1</v>
      </c>
    </row>
    <row r="107" spans="1:7" x14ac:dyDescent="0.25">
      <c r="A107" s="1">
        <f>IF(Raw_data!A107="",NA(),Raw_data!A107)</f>
        <v>44701</v>
      </c>
      <c r="B107" s="14" t="str">
        <f>IF(Raw_data!B107="",NA(),Raw_data!B107)</f>
        <v>Eye Drops</v>
      </c>
      <c r="C107" s="14" t="str">
        <f>IF(Raw_data!C107="",NA(),Raw_data!C107)</f>
        <v>Nikhil Batra</v>
      </c>
      <c r="D107" s="15">
        <f>IF(Raw_data!D107="",NA(),Raw_data!D107)</f>
        <v>18</v>
      </c>
      <c r="E107" s="16">
        <f>IF(Raw_data!E107="",NA(),Raw_data!E107)</f>
        <v>426.02</v>
      </c>
      <c r="F107" s="14" t="str">
        <f>IF(Raw_data!F107="",NA(),Raw_data!F107)</f>
        <v>UK</v>
      </c>
      <c r="G107">
        <f t="shared" si="1"/>
        <v>1</v>
      </c>
    </row>
    <row r="108" spans="1:7" x14ac:dyDescent="0.25">
      <c r="A108" s="1">
        <f>IF(Raw_data!A108="",NA(),Raw_data!A108)</f>
        <v>44751</v>
      </c>
      <c r="B108" s="14" t="str">
        <f>IF(Raw_data!B108="",NA(),Raw_data!B108)</f>
        <v>Allergy Pills</v>
      </c>
      <c r="C108" s="14" t="str">
        <f>IF(Raw_data!C108="",NA(),Raw_data!C108)</f>
        <v>Priya Singh</v>
      </c>
      <c r="D108" s="15">
        <f>IF(Raw_data!D108="",NA(),Raw_data!D108)</f>
        <v>10</v>
      </c>
      <c r="E108" s="16">
        <f>IF(Raw_data!E108="",NA(),Raw_data!E108)</f>
        <v>101.77</v>
      </c>
      <c r="F108" s="14" t="str">
        <f>IF(Raw_data!F108="",NA(),Raw_data!F108)</f>
        <v>USA</v>
      </c>
      <c r="G108">
        <f t="shared" si="1"/>
        <v>1</v>
      </c>
    </row>
    <row r="109" spans="1:7" x14ac:dyDescent="0.25">
      <c r="A109" s="1">
        <f>IF(Raw_data!A109="",NA(),Raw_data!A109)</f>
        <v>44731</v>
      </c>
      <c r="B109" s="14" t="str">
        <f>IF(Raw_data!B109="",NA(),Raw_data!B109)</f>
        <v>Eye Drops</v>
      </c>
      <c r="C109" s="14" t="str">
        <f>IF(Raw_data!C109="",NA(),Raw_data!C109)</f>
        <v>Priya Singh</v>
      </c>
      <c r="D109" s="15">
        <f>IF(Raw_data!D109="",NA(),Raw_data!D109)</f>
        <v>12</v>
      </c>
      <c r="E109" s="16">
        <f>IF(Raw_data!E109="",NA(),Raw_data!E109)</f>
        <v>132.47999999999999</v>
      </c>
      <c r="F109" s="14" t="str">
        <f>IF(Raw_data!F109="",NA(),Raw_data!F109)</f>
        <v>Canada</v>
      </c>
      <c r="G109">
        <f t="shared" si="1"/>
        <v>1</v>
      </c>
    </row>
    <row r="110" spans="1:7" x14ac:dyDescent="0.25">
      <c r="A110" s="1">
        <f>IF(Raw_data!A110="",NA(),Raw_data!A110)</f>
        <v>44712</v>
      </c>
      <c r="B110" s="14" t="str">
        <f>IF(Raw_data!B110="",NA(),Raw_data!B110)</f>
        <v>Eye Drops</v>
      </c>
      <c r="C110" s="14" t="str">
        <f>IF(Raw_data!C110="",NA(),Raw_data!C110)</f>
        <v>Divya Mehra</v>
      </c>
      <c r="D110" s="15">
        <f>IF(Raw_data!D110="",NA(),Raw_data!D110)</f>
        <v>9</v>
      </c>
      <c r="E110" s="16">
        <f>IF(Raw_data!E110="",NA(),Raw_data!E110)</f>
        <v>82.8</v>
      </c>
      <c r="F110" s="14" t="str">
        <f>IF(Raw_data!F110="",NA(),Raw_data!F110)</f>
        <v>Australia</v>
      </c>
      <c r="G110">
        <f t="shared" si="1"/>
        <v>1</v>
      </c>
    </row>
    <row r="111" spans="1:7" x14ac:dyDescent="0.25">
      <c r="A111" s="1">
        <f>IF(Raw_data!A111="",NA(),Raw_data!A111)</f>
        <v>44704</v>
      </c>
      <c r="B111" s="14" t="str">
        <f>IF(Raw_data!B111="",NA(),Raw_data!B111)</f>
        <v>Eye Drops</v>
      </c>
      <c r="C111" s="14" t="str">
        <f>IF(Raw_data!C111="",NA(),Raw_data!C111)</f>
        <v>Priya Singh</v>
      </c>
      <c r="D111" s="15">
        <f>IF(Raw_data!D111="",NA(),Raw_data!D111)</f>
        <v>1</v>
      </c>
      <c r="E111" s="16">
        <f>IF(Raw_data!E111="",NA(),Raw_data!E111)</f>
        <v>8.51</v>
      </c>
      <c r="F111" s="14" t="str">
        <f>IF(Raw_data!F111="",NA(),Raw_data!F111)</f>
        <v>Canada</v>
      </c>
      <c r="G111">
        <f t="shared" si="1"/>
        <v>1</v>
      </c>
    </row>
    <row r="112" spans="1:7" x14ac:dyDescent="0.25">
      <c r="A112" s="1">
        <f>IF(Raw_data!A112="",NA(),Raw_data!A112)</f>
        <v>44568</v>
      </c>
      <c r="B112" s="14" t="str">
        <f>IF(Raw_data!B112="",NA(),Raw_data!B112)</f>
        <v>Digestive Enzyme</v>
      </c>
      <c r="C112" s="14" t="str">
        <f>IF(Raw_data!C112="",NA(),Raw_data!C112)</f>
        <v>Priya Singh</v>
      </c>
      <c r="D112" s="15">
        <f>IF(Raw_data!D112="",NA(),Raw_data!D112)</f>
        <v>11</v>
      </c>
      <c r="E112" s="16">
        <f>IF(Raw_data!E112="",NA(),Raw_data!E112)</f>
        <v>90.19</v>
      </c>
      <c r="F112" s="14" t="str">
        <f>IF(Raw_data!F112="",NA(),Raw_data!F112)</f>
        <v>USA</v>
      </c>
      <c r="G112">
        <f t="shared" si="1"/>
        <v>1</v>
      </c>
    </row>
    <row r="113" spans="1:7" x14ac:dyDescent="0.25">
      <c r="A113" s="1">
        <f>IF(Raw_data!A113="",NA(),Raw_data!A113)</f>
        <v>44773</v>
      </c>
      <c r="B113" s="14" t="str">
        <f>IF(Raw_data!B113="",NA(),Raw_data!B113)</f>
        <v>Nasal Spray</v>
      </c>
      <c r="C113" s="14" t="str">
        <f>IF(Raw_data!C113="",NA(),Raw_data!C113)</f>
        <v>Ritika Shah</v>
      </c>
      <c r="D113" s="15">
        <f>IF(Raw_data!D113="",NA(),Raw_data!D113)</f>
        <v>6</v>
      </c>
      <c r="E113" s="16">
        <f>IF(Raw_data!E113="",NA(),Raw_data!E113)</f>
        <v>60.03</v>
      </c>
      <c r="F113" s="14" t="str">
        <f>IF(Raw_data!F113="",NA(),Raw_data!F113)</f>
        <v>UK</v>
      </c>
      <c r="G113">
        <f t="shared" si="1"/>
        <v>1</v>
      </c>
    </row>
    <row r="114" spans="1:7" x14ac:dyDescent="0.25">
      <c r="A114" s="1">
        <f>IF(Raw_data!A114="",NA(),Raw_data!A114)</f>
        <v>44705</v>
      </c>
      <c r="B114" s="14" t="str">
        <f>IF(Raw_data!B114="",NA(),Raw_data!B114)</f>
        <v>Nasal Spray</v>
      </c>
      <c r="C114" s="14" t="str">
        <f>IF(Raw_data!C114="",NA(),Raw_data!C114)</f>
        <v>Sneha Iyer</v>
      </c>
      <c r="D114" s="15">
        <f>IF(Raw_data!D114="",NA(),Raw_data!D114)</f>
        <v>8</v>
      </c>
      <c r="E114" s="16">
        <f>IF(Raw_data!E114="",NA(),Raw_data!E114)</f>
        <v>142.54</v>
      </c>
      <c r="F114" s="14" t="str">
        <f>IF(Raw_data!F114="",NA(),Raw_data!F114)</f>
        <v>India</v>
      </c>
      <c r="G114">
        <f t="shared" si="1"/>
        <v>1</v>
      </c>
    </row>
    <row r="115" spans="1:7" x14ac:dyDescent="0.25">
      <c r="A115" s="1">
        <f>IF(Raw_data!A115="",NA(),Raw_data!A115)</f>
        <v>44674</v>
      </c>
      <c r="B115" s="14" t="str">
        <f>IF(Raw_data!B115="",NA(),Raw_data!B115)</f>
        <v>Allergy Pills</v>
      </c>
      <c r="C115" s="14" t="str">
        <f>IF(Raw_data!C115="",NA(),Raw_data!C115)</f>
        <v>Nikhil Batra</v>
      </c>
      <c r="D115" s="15">
        <f>IF(Raw_data!D115="",NA(),Raw_data!D115)</f>
        <v>4</v>
      </c>
      <c r="E115" s="16">
        <f>IF(Raw_data!E115="",NA(),Raw_data!E115)</f>
        <v>96.7</v>
      </c>
      <c r="F115" s="14" t="str">
        <f>IF(Raw_data!F115="",NA(),Raw_data!F115)</f>
        <v>India</v>
      </c>
      <c r="G115">
        <f t="shared" si="1"/>
        <v>1</v>
      </c>
    </row>
    <row r="116" spans="1:7" x14ac:dyDescent="0.25">
      <c r="A116" s="1">
        <f>IF(Raw_data!A116="",NA(),Raw_data!A116)</f>
        <v>44638</v>
      </c>
      <c r="B116" s="14" t="str">
        <f>IF(Raw_data!B116="",NA(),Raw_data!B116)</f>
        <v>Allergy Pills</v>
      </c>
      <c r="C116" s="14" t="str">
        <f>IF(Raw_data!C116="",NA(),Raw_data!C116)</f>
        <v>Ritika Shah</v>
      </c>
      <c r="D116" s="15">
        <f>IF(Raw_data!D116="",NA(),Raw_data!D116)</f>
        <v>15</v>
      </c>
      <c r="E116" s="16">
        <f>IF(Raw_data!E116="",NA(),Raw_data!E116)</f>
        <v>151.63999999999999</v>
      </c>
      <c r="F116" s="14" t="str">
        <f>IF(Raw_data!F116="",NA(),Raw_data!F116)</f>
        <v>Australia</v>
      </c>
      <c r="G116">
        <f t="shared" si="1"/>
        <v>1</v>
      </c>
    </row>
    <row r="117" spans="1:7" x14ac:dyDescent="0.25">
      <c r="A117" s="1">
        <f>IF(Raw_data!A117="",NA(),Raw_data!A117)</f>
        <v>44798</v>
      </c>
      <c r="B117" s="14" t="str">
        <f>IF(Raw_data!B117="",NA(),Raw_data!B117)</f>
        <v>Antiseptic Cream</v>
      </c>
      <c r="C117" s="14" t="str">
        <f>IF(Raw_data!C117="",NA(),Raw_data!C117)</f>
        <v>Divya Mehra</v>
      </c>
      <c r="D117" s="15">
        <f>IF(Raw_data!D117="",NA(),Raw_data!D117)</f>
        <v>15</v>
      </c>
      <c r="E117" s="16">
        <f>IF(Raw_data!E117="",NA(),Raw_data!E117)</f>
        <v>197.97</v>
      </c>
      <c r="F117" s="14" t="str">
        <f>IF(Raw_data!F117="",NA(),Raw_data!F117)</f>
        <v>Canada</v>
      </c>
      <c r="G117">
        <f t="shared" si="1"/>
        <v>1</v>
      </c>
    </row>
    <row r="118" spans="1:7" x14ac:dyDescent="0.25">
      <c r="A118" s="1">
        <f>IF(Raw_data!A118="",NA(),Raw_data!A118)</f>
        <v>44624</v>
      </c>
      <c r="B118" s="14" t="str">
        <f>IF(Raw_data!B118="",NA(),Raw_data!B118)</f>
        <v>Allergy Pills</v>
      </c>
      <c r="C118" s="14" t="str">
        <f>IF(Raw_data!C118="",NA(),Raw_data!C118)</f>
        <v>Divya Mehra</v>
      </c>
      <c r="D118" s="15">
        <f>IF(Raw_data!D118="",NA(),Raw_data!D118)</f>
        <v>9</v>
      </c>
      <c r="E118" s="16">
        <f>IF(Raw_data!E118="",NA(),Raw_data!E118)</f>
        <v>182.35</v>
      </c>
      <c r="F118" s="14" t="str">
        <f>IF(Raw_data!F118="",NA(),Raw_data!F118)</f>
        <v>India</v>
      </c>
      <c r="G118">
        <f t="shared" si="1"/>
        <v>1</v>
      </c>
    </row>
    <row r="119" spans="1:7" x14ac:dyDescent="0.25">
      <c r="A119" s="1">
        <f>IF(Raw_data!A119="",NA(),Raw_data!A119)</f>
        <v>44644</v>
      </c>
      <c r="B119" s="14" t="str">
        <f>IF(Raw_data!B119="",NA(),Raw_data!B119)</f>
        <v>Digestive Enzyme</v>
      </c>
      <c r="C119" s="14" t="str">
        <f>IF(Raw_data!C119="",NA(),Raw_data!C119)</f>
        <v>Divya Mehra</v>
      </c>
      <c r="D119" s="15">
        <f>IF(Raw_data!D119="",NA(),Raw_data!D119)</f>
        <v>19</v>
      </c>
      <c r="E119" s="16">
        <f>IF(Raw_data!E119="",NA(),Raw_data!E119)</f>
        <v>443.56</v>
      </c>
      <c r="F119" s="14" t="str">
        <f>IF(Raw_data!F119="",NA(),Raw_data!F119)</f>
        <v>Canada</v>
      </c>
      <c r="G119">
        <f t="shared" si="1"/>
        <v>1</v>
      </c>
    </row>
    <row r="120" spans="1:7" x14ac:dyDescent="0.25">
      <c r="A120" s="1">
        <f>IF(Raw_data!A120="",NA(),Raw_data!A120)</f>
        <v>44647</v>
      </c>
      <c r="B120" s="14" t="str">
        <f>IF(Raw_data!B120="",NA(),Raw_data!B120)</f>
        <v>Antiseptic Cream</v>
      </c>
      <c r="C120" s="14" t="str">
        <f>IF(Raw_data!C120="",NA(),Raw_data!C120)</f>
        <v>Rajesh Patel</v>
      </c>
      <c r="D120" s="15">
        <f>IF(Raw_data!D120="",NA(),Raw_data!D120)</f>
        <v>9</v>
      </c>
      <c r="E120" s="16">
        <f>IF(Raw_data!E120="",NA(),Raw_data!E120)</f>
        <v>89.01</v>
      </c>
      <c r="F120" s="14" t="str">
        <f>IF(Raw_data!F120="",NA(),Raw_data!F120)</f>
        <v>Canada</v>
      </c>
      <c r="G120">
        <f t="shared" si="1"/>
        <v>1</v>
      </c>
    </row>
    <row r="121" spans="1:7" x14ac:dyDescent="0.25">
      <c r="A121" s="1">
        <f>IF(Raw_data!A121="",NA(),Raw_data!A121)</f>
        <v>44699</v>
      </c>
      <c r="B121" s="14" t="str">
        <f>IF(Raw_data!B121="",NA(),Raw_data!B121)</f>
        <v>Nasal Spray</v>
      </c>
      <c r="C121" s="14" t="str">
        <f>IF(Raw_data!C121="",NA(),Raw_data!C121)</f>
        <v>Aman Verma</v>
      </c>
      <c r="D121" s="15">
        <f>IF(Raw_data!D121="",NA(),Raw_data!D121)</f>
        <v>1</v>
      </c>
      <c r="E121" s="16">
        <f>IF(Raw_data!E121="",NA(),Raw_data!E121)</f>
        <v>10.32</v>
      </c>
      <c r="F121" s="14" t="str">
        <f>IF(Raw_data!F121="",NA(),Raw_data!F121)</f>
        <v>USA</v>
      </c>
      <c r="G121">
        <f t="shared" si="1"/>
        <v>1</v>
      </c>
    </row>
    <row r="122" spans="1:7" x14ac:dyDescent="0.25">
      <c r="A122" s="1">
        <f>IF(Raw_data!A122="",NA(),Raw_data!A122)</f>
        <v>44695</v>
      </c>
      <c r="B122" s="14" t="str">
        <f>IF(Raw_data!B122="",NA(),Raw_data!B122)</f>
        <v>Allergy Pills</v>
      </c>
      <c r="C122" s="14" t="str">
        <f>IF(Raw_data!C122="",NA(),Raw_data!C122)</f>
        <v>Sneha Iyer</v>
      </c>
      <c r="D122" s="15">
        <f>IF(Raw_data!D122="",NA(),Raw_data!D122)</f>
        <v>20</v>
      </c>
      <c r="E122" s="16">
        <f>IF(Raw_data!E122="",NA(),Raw_data!E122)</f>
        <v>414.06</v>
      </c>
      <c r="F122" s="14" t="str">
        <f>IF(Raw_data!F122="",NA(),Raw_data!F122)</f>
        <v>USA</v>
      </c>
      <c r="G122">
        <f t="shared" si="1"/>
        <v>1</v>
      </c>
    </row>
    <row r="123" spans="1:7" x14ac:dyDescent="0.25">
      <c r="A123" s="1">
        <f>IF(Raw_data!A123="",NA(),Raw_data!A123)</f>
        <v>44600</v>
      </c>
      <c r="B123" s="14" t="str">
        <f>IF(Raw_data!B123="",NA(),Raw_data!B123)</f>
        <v>Cough Syrup</v>
      </c>
      <c r="C123" s="14" t="str">
        <f>IF(Raw_data!C123="",NA(),Raw_data!C123)</f>
        <v>Sneha Iyer</v>
      </c>
      <c r="D123" s="15">
        <f>IF(Raw_data!D123="",NA(),Raw_data!D123)</f>
        <v>10</v>
      </c>
      <c r="E123" s="16">
        <f>IF(Raw_data!E123="",NA(),Raw_data!E123)</f>
        <v>159.21</v>
      </c>
      <c r="F123" s="14" t="str">
        <f>IF(Raw_data!F123="",NA(),Raw_data!F123)</f>
        <v>Australia</v>
      </c>
      <c r="G123">
        <f t="shared" si="1"/>
        <v>1</v>
      </c>
    </row>
    <row r="124" spans="1:7" x14ac:dyDescent="0.25">
      <c r="A124" s="1">
        <f>IF(Raw_data!A124="",NA(),Raw_data!A124)</f>
        <v>44612</v>
      </c>
      <c r="B124" s="14" t="str">
        <f>IF(Raw_data!B124="",NA(),Raw_data!B124)</f>
        <v>Eye Drops</v>
      </c>
      <c r="C124" s="14" t="str">
        <f>IF(Raw_data!C124="",NA(),Raw_data!C124)</f>
        <v>Divya Mehra</v>
      </c>
      <c r="D124" s="15">
        <f>IF(Raw_data!D124="",NA(),Raw_data!D124)</f>
        <v>18</v>
      </c>
      <c r="E124" s="16">
        <f>IF(Raw_data!E124="",NA(),Raw_data!E124)</f>
        <v>195.1</v>
      </c>
      <c r="F124" s="14" t="str">
        <f>IF(Raw_data!F124="",NA(),Raw_data!F124)</f>
        <v>Canada</v>
      </c>
      <c r="G124">
        <f t="shared" si="1"/>
        <v>1</v>
      </c>
    </row>
    <row r="125" spans="1:7" x14ac:dyDescent="0.25">
      <c r="A125" s="1">
        <f>IF(Raw_data!A125="",NA(),Raw_data!A125)</f>
        <v>44794</v>
      </c>
      <c r="B125" s="14" t="str">
        <f>IF(Raw_data!B125="",NA(),Raw_data!B125)</f>
        <v>Nasal Spray</v>
      </c>
      <c r="C125" s="14" t="str">
        <f>IF(Raw_data!C125="",NA(),Raw_data!C125)</f>
        <v>Aman Verma</v>
      </c>
      <c r="D125" s="15">
        <f>IF(Raw_data!D125="",NA(),Raw_data!D125)</f>
        <v>19</v>
      </c>
      <c r="E125" s="16">
        <f>IF(Raw_data!E125="",NA(),Raw_data!E125)</f>
        <v>386.61</v>
      </c>
      <c r="F125" s="14" t="str">
        <f>IF(Raw_data!F125="",NA(),Raw_data!F125)</f>
        <v>USA</v>
      </c>
      <c r="G125">
        <f t="shared" si="1"/>
        <v>1</v>
      </c>
    </row>
    <row r="126" spans="1:7" x14ac:dyDescent="0.25">
      <c r="A126" s="1">
        <f>IF(Raw_data!A126="",NA(),Raw_data!A126)</f>
        <v>44770</v>
      </c>
      <c r="B126" s="14" t="str">
        <f>IF(Raw_data!B126="",NA(),Raw_data!B126)</f>
        <v>Digestive Enzyme</v>
      </c>
      <c r="C126" s="14" t="str">
        <f>IF(Raw_data!C126="",NA(),Raw_data!C126)</f>
        <v>Ritika Shah</v>
      </c>
      <c r="D126" s="15">
        <f>IF(Raw_data!D126="",NA(),Raw_data!D126)</f>
        <v>1</v>
      </c>
      <c r="E126" s="16">
        <f>IF(Raw_data!E126="",NA(),Raw_data!E126)</f>
        <v>22.99</v>
      </c>
      <c r="F126" s="14" t="str">
        <f>IF(Raw_data!F126="",NA(),Raw_data!F126)</f>
        <v>USA</v>
      </c>
      <c r="G126">
        <f t="shared" si="1"/>
        <v>1</v>
      </c>
    </row>
    <row r="127" spans="1:7" x14ac:dyDescent="0.25">
      <c r="A127" s="1">
        <f>IF(Raw_data!A127="",NA(),Raw_data!A127)</f>
        <v>44710</v>
      </c>
      <c r="B127" s="14" t="str">
        <f>IF(Raw_data!B127="",NA(),Raw_data!B127)</f>
        <v>Cough Syrup</v>
      </c>
      <c r="C127" s="14" t="str">
        <f>IF(Raw_data!C127="",NA(),Raw_data!C127)</f>
        <v>Priya Singh</v>
      </c>
      <c r="D127" s="15">
        <f>IF(Raw_data!D127="",NA(),Raw_data!D127)</f>
        <v>17</v>
      </c>
      <c r="E127" s="16">
        <f>IF(Raw_data!E127="",NA(),Raw_data!E127)</f>
        <v>290.44</v>
      </c>
      <c r="F127" s="14" t="str">
        <f>IF(Raw_data!F127="",NA(),Raw_data!F127)</f>
        <v>UK</v>
      </c>
      <c r="G127">
        <f t="shared" si="1"/>
        <v>1</v>
      </c>
    </row>
    <row r="128" spans="1:7" x14ac:dyDescent="0.25">
      <c r="A128" s="1">
        <f>IF(Raw_data!A128="",NA(),Raw_data!A128)</f>
        <v>44700</v>
      </c>
      <c r="B128" s="14" t="str">
        <f>IF(Raw_data!B128="",NA(),Raw_data!B128)</f>
        <v>Pain Relief Tablets</v>
      </c>
      <c r="C128" s="14" t="str">
        <f>IF(Raw_data!C128="",NA(),Raw_data!C128)</f>
        <v>Aman Verma</v>
      </c>
      <c r="D128" s="15">
        <f>IF(Raw_data!D128="",NA(),Raw_data!D128)</f>
        <v>5</v>
      </c>
      <c r="E128" s="16">
        <f>IF(Raw_data!E128="",NA(),Raw_data!E128)</f>
        <v>79.459999999999994</v>
      </c>
      <c r="F128" s="14" t="str">
        <f>IF(Raw_data!F128="",NA(),Raw_data!F128)</f>
        <v>India</v>
      </c>
      <c r="G128">
        <f t="shared" si="1"/>
        <v>1</v>
      </c>
    </row>
    <row r="129" spans="1:7" x14ac:dyDescent="0.25">
      <c r="A129" s="1">
        <f>IF(Raw_data!A129="",NA(),Raw_data!A129)</f>
        <v>44787</v>
      </c>
      <c r="B129" s="14" t="str">
        <f>IF(Raw_data!B129="",NA(),Raw_data!B129)</f>
        <v>Eye Drops</v>
      </c>
      <c r="C129" s="14" t="str">
        <f>IF(Raw_data!C129="",NA(),Raw_data!C129)</f>
        <v>Nikhil Batra</v>
      </c>
      <c r="D129" s="15">
        <f>IF(Raw_data!D129="",NA(),Raw_data!D129)</f>
        <v>2</v>
      </c>
      <c r="E129" s="16">
        <f>IF(Raw_data!E129="",NA(),Raw_data!E129)</f>
        <v>48.19</v>
      </c>
      <c r="F129" s="14" t="str">
        <f>IF(Raw_data!F129="",NA(),Raw_data!F129)</f>
        <v>UK</v>
      </c>
      <c r="G129">
        <f t="shared" si="1"/>
        <v>1</v>
      </c>
    </row>
    <row r="130" spans="1:7" x14ac:dyDescent="0.25">
      <c r="A130" s="1">
        <f>IF(Raw_data!A130="",NA(),Raw_data!A130)</f>
        <v>44571</v>
      </c>
      <c r="B130" s="14" t="str">
        <f>IF(Raw_data!B130="",NA(),Raw_data!B130)</f>
        <v>Cough Syrup</v>
      </c>
      <c r="C130" s="14" t="str">
        <f>IF(Raw_data!C130="",NA(),Raw_data!C130)</f>
        <v>Sneha Iyer</v>
      </c>
      <c r="D130" s="15">
        <f>IF(Raw_data!D130="",NA(),Raw_data!D130)</f>
        <v>19</v>
      </c>
      <c r="E130" s="16">
        <f>IF(Raw_data!E130="",NA(),Raw_data!E130)</f>
        <v>166.83</v>
      </c>
      <c r="F130" s="14" t="str">
        <f>IF(Raw_data!F130="",NA(),Raw_data!F130)</f>
        <v>India</v>
      </c>
      <c r="G130">
        <f t="shared" ref="G130:G193" si="2">COUNTIFS(A:A,A130,B:B,B130,C:C,C130,D:D,D130,E:E,E130,F:F,F130)</f>
        <v>1</v>
      </c>
    </row>
    <row r="131" spans="1:7" x14ac:dyDescent="0.25">
      <c r="A131" s="1">
        <f>IF(Raw_data!A131="",NA(),Raw_data!A131)</f>
        <v>44654</v>
      </c>
      <c r="B131" s="14" t="str">
        <f>IF(Raw_data!B131="",NA(),Raw_data!B131)</f>
        <v>Digestive Enzyme</v>
      </c>
      <c r="C131" s="14" t="str">
        <f>IF(Raw_data!C131="",NA(),Raw_data!C131)</f>
        <v>Rajesh Patel</v>
      </c>
      <c r="D131" s="15">
        <f>IF(Raw_data!D131="",NA(),Raw_data!D131)</f>
        <v>3</v>
      </c>
      <c r="E131" s="16">
        <f>IF(Raw_data!E131="",NA(),Raw_data!E131)</f>
        <v>40.32</v>
      </c>
      <c r="F131" s="14" t="str">
        <f>IF(Raw_data!F131="",NA(),Raw_data!F131)</f>
        <v>USA</v>
      </c>
      <c r="G131">
        <f t="shared" si="2"/>
        <v>1</v>
      </c>
    </row>
    <row r="132" spans="1:7" x14ac:dyDescent="0.25">
      <c r="A132" s="1">
        <f>IF(Raw_data!A132="",NA(),Raw_data!A132)</f>
        <v>44739</v>
      </c>
      <c r="B132" s="14" t="str">
        <f>IF(Raw_data!B132="",NA(),Raw_data!B132)</f>
        <v>Allergy Pills</v>
      </c>
      <c r="C132" s="14" t="str">
        <f>IF(Raw_data!C132="",NA(),Raw_data!C132)</f>
        <v>Rajesh Patel</v>
      </c>
      <c r="D132" s="15">
        <f>IF(Raw_data!D132="",NA(),Raw_data!D132)</f>
        <v>15</v>
      </c>
      <c r="E132" s="16">
        <f>IF(Raw_data!E132="",NA(),Raw_data!E132)</f>
        <v>176.45</v>
      </c>
      <c r="F132" s="14" t="str">
        <f>IF(Raw_data!F132="",NA(),Raw_data!F132)</f>
        <v>USA</v>
      </c>
      <c r="G132">
        <f t="shared" si="2"/>
        <v>1</v>
      </c>
    </row>
    <row r="133" spans="1:7" x14ac:dyDescent="0.25">
      <c r="A133" s="1">
        <f>IF(Raw_data!A133="",NA(),Raw_data!A133)</f>
        <v>44646</v>
      </c>
      <c r="B133" s="14" t="str">
        <f>IF(Raw_data!B133="",NA(),Raw_data!B133)</f>
        <v>Antiseptic Cream</v>
      </c>
      <c r="C133" s="14" t="str">
        <f>IF(Raw_data!C133="",NA(),Raw_data!C133)</f>
        <v>Nikhil Batra</v>
      </c>
      <c r="D133" s="15">
        <f>IF(Raw_data!D133="",NA(),Raw_data!D133)</f>
        <v>1</v>
      </c>
      <c r="E133" s="16">
        <f>IF(Raw_data!E133="",NA(),Raw_data!E133)</f>
        <v>9.4</v>
      </c>
      <c r="F133" s="14" t="str">
        <f>IF(Raw_data!F133="",NA(),Raw_data!F133)</f>
        <v>UK</v>
      </c>
      <c r="G133">
        <f t="shared" si="2"/>
        <v>1</v>
      </c>
    </row>
    <row r="134" spans="1:7" x14ac:dyDescent="0.25">
      <c r="A134" s="1">
        <f>IF(Raw_data!A134="",NA(),Raw_data!A134)</f>
        <v>44590</v>
      </c>
      <c r="B134" s="14" t="str">
        <f>IF(Raw_data!B134="",NA(),Raw_data!B134)</f>
        <v>Allergy Pills</v>
      </c>
      <c r="C134" s="14" t="str">
        <f>IF(Raw_data!C134="",NA(),Raw_data!C134)</f>
        <v>Rajesh Patel</v>
      </c>
      <c r="D134" s="15">
        <f>IF(Raw_data!D134="",NA(),Raw_data!D134)</f>
        <v>11</v>
      </c>
      <c r="E134" s="16">
        <f>IF(Raw_data!E134="",NA(),Raw_data!E134)</f>
        <v>176.73</v>
      </c>
      <c r="F134" s="14" t="str">
        <f>IF(Raw_data!F134="",NA(),Raw_data!F134)</f>
        <v>Australia</v>
      </c>
      <c r="G134">
        <f t="shared" si="2"/>
        <v>1</v>
      </c>
    </row>
    <row r="135" spans="1:7" x14ac:dyDescent="0.25">
      <c r="A135" s="1">
        <f>IF(Raw_data!A135="",NA(),Raw_data!A135)</f>
        <v>44630</v>
      </c>
      <c r="B135" s="14" t="str">
        <f>IF(Raw_data!B135="",NA(),Raw_data!B135)</f>
        <v>Pain Relief Tablets</v>
      </c>
      <c r="C135" s="14" t="str">
        <f>IF(Raw_data!C135="",NA(),Raw_data!C135)</f>
        <v>Divya Mehra</v>
      </c>
      <c r="D135" s="15">
        <f>IF(Raw_data!D135="",NA(),Raw_data!D135)</f>
        <v>16</v>
      </c>
      <c r="E135" s="16">
        <f>IF(Raw_data!E135="",NA(),Raw_data!E135)</f>
        <v>235.83</v>
      </c>
      <c r="F135" s="14" t="str">
        <f>IF(Raw_data!F135="",NA(),Raw_data!F135)</f>
        <v>Canada</v>
      </c>
      <c r="G135">
        <f t="shared" si="2"/>
        <v>1</v>
      </c>
    </row>
    <row r="136" spans="1:7" x14ac:dyDescent="0.25">
      <c r="A136" s="1">
        <f>IF(Raw_data!A136="",NA(),Raw_data!A136)</f>
        <v>44600</v>
      </c>
      <c r="B136" s="14" t="str">
        <f>IF(Raw_data!B136="",NA(),Raw_data!B136)</f>
        <v>Digestive Enzyme</v>
      </c>
      <c r="C136" s="14" t="str">
        <f>IF(Raw_data!C136="",NA(),Raw_data!C136)</f>
        <v>Aman Verma</v>
      </c>
      <c r="D136" s="15">
        <f>IF(Raw_data!D136="",NA(),Raw_data!D136)</f>
        <v>11</v>
      </c>
      <c r="E136" s="16">
        <f>IF(Raw_data!E136="",NA(),Raw_data!E136)</f>
        <v>106.76</v>
      </c>
      <c r="F136" s="14" t="str">
        <f>IF(Raw_data!F136="",NA(),Raw_data!F136)</f>
        <v>Canada</v>
      </c>
      <c r="G136">
        <f t="shared" si="2"/>
        <v>1</v>
      </c>
    </row>
    <row r="137" spans="1:7" x14ac:dyDescent="0.25">
      <c r="A137" s="1">
        <f>IF(Raw_data!A137="",NA(),Raw_data!A137)</f>
        <v>44766</v>
      </c>
      <c r="B137" s="14" t="str">
        <f>IF(Raw_data!B137="",NA(),Raw_data!B137)</f>
        <v>Cough Syrup</v>
      </c>
      <c r="C137" s="14" t="str">
        <f>IF(Raw_data!C137="",NA(),Raw_data!C137)</f>
        <v>Divya Mehra</v>
      </c>
      <c r="D137" s="15">
        <f>IF(Raw_data!D137="",NA(),Raw_data!D137)</f>
        <v>12</v>
      </c>
      <c r="E137" s="16">
        <f>IF(Raw_data!E137="",NA(),Raw_data!E137)</f>
        <v>100.6</v>
      </c>
      <c r="F137" s="14" t="str">
        <f>IF(Raw_data!F137="",NA(),Raw_data!F137)</f>
        <v>USA</v>
      </c>
      <c r="G137">
        <f t="shared" si="2"/>
        <v>1</v>
      </c>
    </row>
    <row r="138" spans="1:7" x14ac:dyDescent="0.25">
      <c r="A138" s="1">
        <f>IF(Raw_data!A138="",NA(),Raw_data!A138)</f>
        <v>44642</v>
      </c>
      <c r="B138" s="14" t="str">
        <f>IF(Raw_data!B138="",NA(),Raw_data!B138)</f>
        <v>Nasal Spray</v>
      </c>
      <c r="C138" s="14" t="str">
        <f>IF(Raw_data!C138="",NA(),Raw_data!C138)</f>
        <v>Rajesh Patel</v>
      </c>
      <c r="D138" s="15">
        <f>IF(Raw_data!D138="",NA(),Raw_data!D138)</f>
        <v>11</v>
      </c>
      <c r="E138" s="16">
        <f>IF(Raw_data!E138="",NA(),Raw_data!E138)</f>
        <v>214</v>
      </c>
      <c r="F138" s="14" t="str">
        <f>IF(Raw_data!F138="",NA(),Raw_data!F138)</f>
        <v>Canada</v>
      </c>
      <c r="G138">
        <f t="shared" si="2"/>
        <v>1</v>
      </c>
    </row>
    <row r="139" spans="1:7" x14ac:dyDescent="0.25">
      <c r="A139" s="1">
        <f>IF(Raw_data!A139="",NA(),Raw_data!A139)</f>
        <v>44686</v>
      </c>
      <c r="B139" s="14" t="str">
        <f>IF(Raw_data!B139="",NA(),Raw_data!B139)</f>
        <v>Eye Drops</v>
      </c>
      <c r="C139" s="14" t="str">
        <f>IF(Raw_data!C139="",NA(),Raw_data!C139)</f>
        <v>Nikhil Batra</v>
      </c>
      <c r="D139" s="15">
        <f>IF(Raw_data!D139="",NA(),Raw_data!D139)</f>
        <v>13</v>
      </c>
      <c r="E139" s="16">
        <f>IF(Raw_data!E139="",NA(),Raw_data!E139)</f>
        <v>315.98</v>
      </c>
      <c r="F139" s="14" t="str">
        <f>IF(Raw_data!F139="",NA(),Raw_data!F139)</f>
        <v>India</v>
      </c>
      <c r="G139">
        <f t="shared" si="2"/>
        <v>1</v>
      </c>
    </row>
    <row r="140" spans="1:7" x14ac:dyDescent="0.25">
      <c r="A140" s="1">
        <f>IF(Raw_data!A140="",NA(),Raw_data!A140)</f>
        <v>44603</v>
      </c>
      <c r="B140" s="14" t="str">
        <f>IF(Raw_data!B140="",NA(),Raw_data!B140)</f>
        <v>Eye Drops</v>
      </c>
      <c r="C140" s="14" t="str">
        <f>IF(Raw_data!C140="",NA(),Raw_data!C140)</f>
        <v>Priya Singh</v>
      </c>
      <c r="D140" s="15">
        <f>IF(Raw_data!D140="",NA(),Raw_data!D140)</f>
        <v>1</v>
      </c>
      <c r="E140" s="16">
        <f>IF(Raw_data!E140="",NA(),Raw_data!E140)</f>
        <v>13.06</v>
      </c>
      <c r="F140" s="14" t="str">
        <f>IF(Raw_data!F140="",NA(),Raw_data!F140)</f>
        <v>India</v>
      </c>
      <c r="G140">
        <f t="shared" si="2"/>
        <v>1</v>
      </c>
    </row>
    <row r="141" spans="1:7" x14ac:dyDescent="0.25">
      <c r="A141" s="1">
        <f>IF(Raw_data!A141="",NA(),Raw_data!A141)</f>
        <v>44619</v>
      </c>
      <c r="B141" s="14" t="str">
        <f>IF(Raw_data!B141="",NA(),Raw_data!B141)</f>
        <v>Cough Syrup</v>
      </c>
      <c r="C141" s="14" t="str">
        <f>IF(Raw_data!C141="",NA(),Raw_data!C141)</f>
        <v>Ritika Shah</v>
      </c>
      <c r="D141" s="15">
        <f>IF(Raw_data!D141="",NA(),Raw_data!D141)</f>
        <v>3</v>
      </c>
      <c r="E141" s="16">
        <f>IF(Raw_data!E141="",NA(),Raw_data!E141)</f>
        <v>44.25</v>
      </c>
      <c r="F141" s="14" t="str">
        <f>IF(Raw_data!F141="",NA(),Raw_data!F141)</f>
        <v>India</v>
      </c>
      <c r="G141">
        <f t="shared" si="2"/>
        <v>1</v>
      </c>
    </row>
    <row r="142" spans="1:7" x14ac:dyDescent="0.25">
      <c r="A142" s="1">
        <f>IF(Raw_data!A142="",NA(),Raw_data!A142)</f>
        <v>44760</v>
      </c>
      <c r="B142" s="14" t="str">
        <f>IF(Raw_data!B142="",NA(),Raw_data!B142)</f>
        <v>Pain Relief Tablets</v>
      </c>
      <c r="C142" s="14" t="str">
        <f>IF(Raw_data!C142="",NA(),Raw_data!C142)</f>
        <v>Ritika Shah</v>
      </c>
      <c r="D142" s="15">
        <f>IF(Raw_data!D142="",NA(),Raw_data!D142)</f>
        <v>5</v>
      </c>
      <c r="E142" s="16">
        <f>IF(Raw_data!E142="",NA(),Raw_data!E142)</f>
        <v>97.26</v>
      </c>
      <c r="F142" s="14" t="str">
        <f>IF(Raw_data!F142="",NA(),Raw_data!F142)</f>
        <v>Canada</v>
      </c>
      <c r="G142">
        <f t="shared" si="2"/>
        <v>1</v>
      </c>
    </row>
    <row r="143" spans="1:7" x14ac:dyDescent="0.25">
      <c r="A143" s="1">
        <f>IF(Raw_data!A143="",NA(),Raw_data!A143)</f>
        <v>44771</v>
      </c>
      <c r="B143" s="14" t="str">
        <f>IF(Raw_data!B143="",NA(),Raw_data!B143)</f>
        <v>Antiseptic Cream</v>
      </c>
      <c r="C143" s="14" t="str">
        <f>IF(Raw_data!C143="",NA(),Raw_data!C143)</f>
        <v>Rajesh Patel</v>
      </c>
      <c r="D143" s="15">
        <f>IF(Raw_data!D143="",NA(),Raw_data!D143)</f>
        <v>20</v>
      </c>
      <c r="E143" s="16">
        <f>IF(Raw_data!E143="",NA(),Raw_data!E143)</f>
        <v>380.27</v>
      </c>
      <c r="F143" s="14" t="str">
        <f>IF(Raw_data!F143="",NA(),Raw_data!F143)</f>
        <v>Canada</v>
      </c>
      <c r="G143">
        <f t="shared" si="2"/>
        <v>1</v>
      </c>
    </row>
    <row r="144" spans="1:7" x14ac:dyDescent="0.25">
      <c r="A144" s="1">
        <f>IF(Raw_data!A144="",NA(),Raw_data!A144)</f>
        <v>44665</v>
      </c>
      <c r="B144" s="14" t="str">
        <f>IF(Raw_data!B144="",NA(),Raw_data!B144)</f>
        <v>Pain Relief Tablets</v>
      </c>
      <c r="C144" s="14" t="str">
        <f>IF(Raw_data!C144="",NA(),Raw_data!C144)</f>
        <v>Rajesh Patel</v>
      </c>
      <c r="D144" s="15">
        <f>IF(Raw_data!D144="",NA(),Raw_data!D144)</f>
        <v>9</v>
      </c>
      <c r="E144" s="16">
        <f>IF(Raw_data!E144="",NA(),Raw_data!E144)</f>
        <v>79.13</v>
      </c>
      <c r="F144" s="14" t="str">
        <f>IF(Raw_data!F144="",NA(),Raw_data!F144)</f>
        <v>UK</v>
      </c>
      <c r="G144">
        <f t="shared" si="2"/>
        <v>1</v>
      </c>
    </row>
    <row r="145" spans="1:7" x14ac:dyDescent="0.25">
      <c r="A145" s="1">
        <f>IF(Raw_data!A145="",NA(),Raw_data!A145)</f>
        <v>44735</v>
      </c>
      <c r="B145" s="14" t="str">
        <f>IF(Raw_data!B145="",NA(),Raw_data!B145)</f>
        <v>Eye Drops</v>
      </c>
      <c r="C145" s="14" t="str">
        <f>IF(Raw_data!C145="",NA(),Raw_data!C145)</f>
        <v>Priya Singh</v>
      </c>
      <c r="D145" s="15">
        <f>IF(Raw_data!D145="",NA(),Raw_data!D145)</f>
        <v>3</v>
      </c>
      <c r="E145" s="16">
        <f>IF(Raw_data!E145="",NA(),Raw_data!E145)</f>
        <v>56.2</v>
      </c>
      <c r="F145" s="14" t="str">
        <f>IF(Raw_data!F145="",NA(),Raw_data!F145)</f>
        <v>Australia</v>
      </c>
      <c r="G145">
        <f t="shared" si="2"/>
        <v>1</v>
      </c>
    </row>
    <row r="146" spans="1:7" x14ac:dyDescent="0.25">
      <c r="A146" s="1">
        <f>IF(Raw_data!A146="",NA(),Raw_data!A146)</f>
        <v>44717</v>
      </c>
      <c r="B146" s="14" t="str">
        <f>IF(Raw_data!B146="",NA(),Raw_data!B146)</f>
        <v>Nasal Spray</v>
      </c>
      <c r="C146" s="14" t="str">
        <f>IF(Raw_data!C146="",NA(),Raw_data!C146)</f>
        <v>Priya Singh</v>
      </c>
      <c r="D146" s="15">
        <f>IF(Raw_data!D146="",NA(),Raw_data!D146)</f>
        <v>7</v>
      </c>
      <c r="E146" s="16">
        <f>IF(Raw_data!E146="",NA(),Raw_data!E146)</f>
        <v>156.91999999999999</v>
      </c>
      <c r="F146" s="14" t="str">
        <f>IF(Raw_data!F146="",NA(),Raw_data!F146)</f>
        <v>Canada</v>
      </c>
      <c r="G146">
        <f t="shared" si="2"/>
        <v>1</v>
      </c>
    </row>
    <row r="147" spans="1:7" x14ac:dyDescent="0.25">
      <c r="A147" s="1">
        <f>IF(Raw_data!A147="",NA(),Raw_data!A147)</f>
        <v>44699</v>
      </c>
      <c r="B147" s="14" t="str">
        <f>IF(Raw_data!B147="",NA(),Raw_data!B147)</f>
        <v>Antiseptic Cream</v>
      </c>
      <c r="C147" s="14" t="str">
        <f>IF(Raw_data!C147="",NA(),Raw_data!C147)</f>
        <v>Ritika Shah</v>
      </c>
      <c r="D147" s="15">
        <f>IF(Raw_data!D147="",NA(),Raw_data!D147)</f>
        <v>13</v>
      </c>
      <c r="E147" s="16">
        <f>IF(Raw_data!E147="",NA(),Raw_data!E147)</f>
        <v>187.47</v>
      </c>
      <c r="F147" s="14" t="str">
        <f>IF(Raw_data!F147="",NA(),Raw_data!F147)</f>
        <v>India</v>
      </c>
      <c r="G147">
        <f t="shared" si="2"/>
        <v>1</v>
      </c>
    </row>
    <row r="148" spans="1:7" x14ac:dyDescent="0.25">
      <c r="A148" s="1">
        <f>IF(Raw_data!A148="",NA(),Raw_data!A148)</f>
        <v>44695</v>
      </c>
      <c r="B148" s="14" t="str">
        <f>IF(Raw_data!B148="",NA(),Raw_data!B148)</f>
        <v>Eye Drops</v>
      </c>
      <c r="C148" s="14" t="str">
        <f>IF(Raw_data!C148="",NA(),Raw_data!C148)</f>
        <v>Divya Mehra</v>
      </c>
      <c r="D148" s="15">
        <f>IF(Raw_data!D148="",NA(),Raw_data!D148)</f>
        <v>14</v>
      </c>
      <c r="E148" s="16">
        <f>IF(Raw_data!E148="",NA(),Raw_data!E148)</f>
        <v>234.19</v>
      </c>
      <c r="F148" s="14" t="str">
        <f>IF(Raw_data!F148="",NA(),Raw_data!F148)</f>
        <v>USA</v>
      </c>
      <c r="G148">
        <f t="shared" si="2"/>
        <v>1</v>
      </c>
    </row>
    <row r="149" spans="1:7" x14ac:dyDescent="0.25">
      <c r="A149" s="1">
        <f>IF(Raw_data!A149="",NA(),Raw_data!A149)</f>
        <v>44677</v>
      </c>
      <c r="B149" s="14" t="str">
        <f>IF(Raw_data!B149="",NA(),Raw_data!B149)</f>
        <v>Antiseptic Cream</v>
      </c>
      <c r="C149" s="14" t="str">
        <f>IF(Raw_data!C149="",NA(),Raw_data!C149)</f>
        <v>Nikhil Batra</v>
      </c>
      <c r="D149" s="15">
        <f>IF(Raw_data!D149="",NA(),Raw_data!D149)</f>
        <v>12</v>
      </c>
      <c r="E149" s="16">
        <f>IF(Raw_data!E149="",NA(),Raw_data!E149)</f>
        <v>248.77</v>
      </c>
      <c r="F149" s="14" t="str">
        <f>IF(Raw_data!F149="",NA(),Raw_data!F149)</f>
        <v>USA</v>
      </c>
      <c r="G149">
        <f t="shared" si="2"/>
        <v>1</v>
      </c>
    </row>
    <row r="150" spans="1:7" x14ac:dyDescent="0.25">
      <c r="A150" s="1">
        <f>IF(Raw_data!A150="",NA(),Raw_data!A150)</f>
        <v>44580</v>
      </c>
      <c r="B150" s="14" t="str">
        <f>IF(Raw_data!B150="",NA(),Raw_data!B150)</f>
        <v>Digestive Enzyme</v>
      </c>
      <c r="C150" s="14" t="str">
        <f>IF(Raw_data!C150="",NA(),Raw_data!C150)</f>
        <v>Aman Verma</v>
      </c>
      <c r="D150" s="15">
        <f>IF(Raw_data!D150="",NA(),Raw_data!D150)</f>
        <v>11</v>
      </c>
      <c r="E150" s="16">
        <f>IF(Raw_data!E150="",NA(),Raw_data!E150)</f>
        <v>224.04</v>
      </c>
      <c r="F150" s="14" t="str">
        <f>IF(Raw_data!F150="",NA(),Raw_data!F150)</f>
        <v>Canada</v>
      </c>
      <c r="G150">
        <f t="shared" si="2"/>
        <v>1</v>
      </c>
    </row>
    <row r="151" spans="1:7" x14ac:dyDescent="0.25">
      <c r="A151" s="1">
        <f>IF(Raw_data!A151="",NA(),Raw_data!A151)</f>
        <v>44687</v>
      </c>
      <c r="B151" s="14" t="str">
        <f>IF(Raw_data!B151="",NA(),Raw_data!B151)</f>
        <v>Digestive Enzyme</v>
      </c>
      <c r="C151" s="14" t="str">
        <f>IF(Raw_data!C151="",NA(),Raw_data!C151)</f>
        <v>Aman Verma</v>
      </c>
      <c r="D151" s="15">
        <f>IF(Raw_data!D151="",NA(),Raw_data!D151)</f>
        <v>8</v>
      </c>
      <c r="E151" s="16">
        <f>IF(Raw_data!E151="",NA(),Raw_data!E151)</f>
        <v>88.55</v>
      </c>
      <c r="F151" s="14" t="str">
        <f>IF(Raw_data!F151="",NA(),Raw_data!F151)</f>
        <v>Canada</v>
      </c>
      <c r="G151">
        <f t="shared" si="2"/>
        <v>1</v>
      </c>
    </row>
    <row r="152" spans="1:7" x14ac:dyDescent="0.25">
      <c r="A152" s="1">
        <f>IF(Raw_data!A152="",NA(),Raw_data!A152)</f>
        <v>44622</v>
      </c>
      <c r="B152" s="14" t="str">
        <f>IF(Raw_data!B152="",NA(),Raw_data!B152)</f>
        <v>Cough Syrup</v>
      </c>
      <c r="C152" s="14" t="str">
        <f>IF(Raw_data!C152="",NA(),Raw_data!C152)</f>
        <v>Rajesh Patel</v>
      </c>
      <c r="D152" s="15">
        <f>IF(Raw_data!D152="",NA(),Raw_data!D152)</f>
        <v>20</v>
      </c>
      <c r="E152" s="16">
        <f>IF(Raw_data!E152="",NA(),Raw_data!E152)</f>
        <v>302.63</v>
      </c>
      <c r="F152" s="14" t="str">
        <f>IF(Raw_data!F152="",NA(),Raw_data!F152)</f>
        <v>UK</v>
      </c>
      <c r="G152">
        <f t="shared" si="2"/>
        <v>1</v>
      </c>
    </row>
    <row r="153" spans="1:7" x14ac:dyDescent="0.25">
      <c r="A153" s="1">
        <f>IF(Raw_data!A153="",NA(),Raw_data!A153)</f>
        <v>44615</v>
      </c>
      <c r="B153" s="14" t="str">
        <f>IF(Raw_data!B153="",NA(),Raw_data!B153)</f>
        <v>Pain Relief Tablets</v>
      </c>
      <c r="C153" s="14" t="str">
        <f>IF(Raw_data!C153="",NA(),Raw_data!C153)</f>
        <v>Divya Mehra</v>
      </c>
      <c r="D153" s="15">
        <f>IF(Raw_data!D153="",NA(),Raw_data!D153)</f>
        <v>6</v>
      </c>
      <c r="E153" s="16">
        <f>IF(Raw_data!E153="",NA(),Raw_data!E153)</f>
        <v>127.61</v>
      </c>
      <c r="F153" s="14" t="str">
        <f>IF(Raw_data!F153="",NA(),Raw_data!F153)</f>
        <v>USA</v>
      </c>
      <c r="G153">
        <f t="shared" si="2"/>
        <v>1</v>
      </c>
    </row>
    <row r="154" spans="1:7" x14ac:dyDescent="0.25">
      <c r="A154" s="1">
        <f>IF(Raw_data!A154="",NA(),Raw_data!A154)</f>
        <v>44759</v>
      </c>
      <c r="B154" s="14" t="str">
        <f>IF(Raw_data!B154="",NA(),Raw_data!B154)</f>
        <v>Digestive Enzyme</v>
      </c>
      <c r="C154" s="14" t="str">
        <f>IF(Raw_data!C154="",NA(),Raw_data!C154)</f>
        <v>Aman Verma</v>
      </c>
      <c r="D154" s="15">
        <f>IF(Raw_data!D154="",NA(),Raw_data!D154)</f>
        <v>7</v>
      </c>
      <c r="E154" s="16">
        <f>IF(Raw_data!E154="",NA(),Raw_data!E154)</f>
        <v>85.93</v>
      </c>
      <c r="F154" s="14" t="str">
        <f>IF(Raw_data!F154="",NA(),Raw_data!F154)</f>
        <v>Canada</v>
      </c>
      <c r="G154">
        <f t="shared" si="2"/>
        <v>1</v>
      </c>
    </row>
    <row r="155" spans="1:7" x14ac:dyDescent="0.25">
      <c r="A155" s="1">
        <f>IF(Raw_data!A155="",NA(),Raw_data!A155)</f>
        <v>44652</v>
      </c>
      <c r="B155" s="14" t="str">
        <f>IF(Raw_data!B155="",NA(),Raw_data!B155)</f>
        <v>Cough Syrup</v>
      </c>
      <c r="C155" s="14" t="str">
        <f>IF(Raw_data!C155="",NA(),Raw_data!C155)</f>
        <v>Sneha Iyer</v>
      </c>
      <c r="D155" s="15">
        <f>IF(Raw_data!D155="",NA(),Raw_data!D155)</f>
        <v>9</v>
      </c>
      <c r="E155" s="16">
        <f>IF(Raw_data!E155="",NA(),Raw_data!E155)</f>
        <v>112.85</v>
      </c>
      <c r="F155" s="14" t="str">
        <f>IF(Raw_data!F155="",NA(),Raw_data!F155)</f>
        <v>USA</v>
      </c>
      <c r="G155">
        <f t="shared" si="2"/>
        <v>1</v>
      </c>
    </row>
    <row r="156" spans="1:7" x14ac:dyDescent="0.25">
      <c r="A156" s="1">
        <f>IF(Raw_data!A156="",NA(),Raw_data!A156)</f>
        <v>44775</v>
      </c>
      <c r="B156" s="14" t="str">
        <f>IF(Raw_data!B156="",NA(),Raw_data!B156)</f>
        <v>Allergy Pills</v>
      </c>
      <c r="C156" s="14" t="str">
        <f>IF(Raw_data!C156="",NA(),Raw_data!C156)</f>
        <v>Nikhil Batra</v>
      </c>
      <c r="D156" s="15">
        <f>IF(Raw_data!D156="",NA(),Raw_data!D156)</f>
        <v>2</v>
      </c>
      <c r="E156" s="16">
        <f>IF(Raw_data!E156="",NA(),Raw_data!E156)</f>
        <v>18.27</v>
      </c>
      <c r="F156" s="14" t="str">
        <f>IF(Raw_data!F156="",NA(),Raw_data!F156)</f>
        <v>USA</v>
      </c>
      <c r="G156">
        <f t="shared" si="2"/>
        <v>1</v>
      </c>
    </row>
    <row r="157" spans="1:7" x14ac:dyDescent="0.25">
      <c r="A157" s="1">
        <f>IF(Raw_data!A157="",NA(),Raw_data!A157)</f>
        <v>44774</v>
      </c>
      <c r="B157" s="14" t="str">
        <f>IF(Raw_data!B157="",NA(),Raw_data!B157)</f>
        <v>Eye Drops</v>
      </c>
      <c r="C157" s="14" t="str">
        <f>IF(Raw_data!C157="",NA(),Raw_data!C157)</f>
        <v>Aman Verma</v>
      </c>
      <c r="D157" s="15">
        <f>IF(Raw_data!D157="",NA(),Raw_data!D157)</f>
        <v>6</v>
      </c>
      <c r="E157" s="16">
        <f>IF(Raw_data!E157="",NA(),Raw_data!E157)</f>
        <v>55.27</v>
      </c>
      <c r="F157" s="14" t="str">
        <f>IF(Raw_data!F157="",NA(),Raw_data!F157)</f>
        <v>Australia</v>
      </c>
      <c r="G157">
        <f t="shared" si="2"/>
        <v>1</v>
      </c>
    </row>
    <row r="158" spans="1:7" x14ac:dyDescent="0.25">
      <c r="A158" s="1">
        <f>IF(Raw_data!A158="",NA(),Raw_data!A158)</f>
        <v>44738</v>
      </c>
      <c r="B158" s="14" t="str">
        <f>IF(Raw_data!B158="",NA(),Raw_data!B158)</f>
        <v>Digestive Enzyme</v>
      </c>
      <c r="C158" s="14" t="str">
        <f>IF(Raw_data!C158="",NA(),Raw_data!C158)</f>
        <v>Rajesh Patel</v>
      </c>
      <c r="D158" s="15">
        <f>IF(Raw_data!D158="",NA(),Raw_data!D158)</f>
        <v>11</v>
      </c>
      <c r="E158" s="16">
        <f>IF(Raw_data!E158="",NA(),Raw_data!E158)</f>
        <v>186.86</v>
      </c>
      <c r="F158" s="14" t="str">
        <f>IF(Raw_data!F158="",NA(),Raw_data!F158)</f>
        <v>India</v>
      </c>
      <c r="G158">
        <f t="shared" si="2"/>
        <v>1</v>
      </c>
    </row>
    <row r="159" spans="1:7" x14ac:dyDescent="0.25">
      <c r="A159" s="1">
        <f>IF(Raw_data!A159="",NA(),Raw_data!A159)</f>
        <v>44704</v>
      </c>
      <c r="B159" s="14" t="str">
        <f>IF(Raw_data!B159="",NA(),Raw_data!B159)</f>
        <v>Digestive Enzyme</v>
      </c>
      <c r="C159" s="14" t="str">
        <f>IF(Raw_data!C159="",NA(),Raw_data!C159)</f>
        <v>Sneha Iyer</v>
      </c>
      <c r="D159" s="15">
        <f>IF(Raw_data!D159="",NA(),Raw_data!D159)</f>
        <v>17</v>
      </c>
      <c r="E159" s="16">
        <f>IF(Raw_data!E159="",NA(),Raw_data!E159)</f>
        <v>350.78</v>
      </c>
      <c r="F159" s="14" t="str">
        <f>IF(Raw_data!F159="",NA(),Raw_data!F159)</f>
        <v>UK</v>
      </c>
      <c r="G159">
        <f t="shared" si="2"/>
        <v>1</v>
      </c>
    </row>
    <row r="160" spans="1:7" x14ac:dyDescent="0.25">
      <c r="A160" s="1">
        <f>IF(Raw_data!A160="",NA(),Raw_data!A160)</f>
        <v>44723</v>
      </c>
      <c r="B160" s="14" t="str">
        <f>IF(Raw_data!B160="",NA(),Raw_data!B160)</f>
        <v>Allergy Pills</v>
      </c>
      <c r="C160" s="14" t="str">
        <f>IF(Raw_data!C160="",NA(),Raw_data!C160)</f>
        <v>Sneha Iyer</v>
      </c>
      <c r="D160" s="15">
        <f>IF(Raw_data!D160="",NA(),Raw_data!D160)</f>
        <v>2</v>
      </c>
      <c r="E160" s="16">
        <f>IF(Raw_data!E160="",NA(),Raw_data!E160)</f>
        <v>46.75</v>
      </c>
      <c r="F160" s="14" t="str">
        <f>IF(Raw_data!F160="",NA(),Raw_data!F160)</f>
        <v>Australia</v>
      </c>
      <c r="G160">
        <f t="shared" si="2"/>
        <v>1</v>
      </c>
    </row>
    <row r="161" spans="1:7" x14ac:dyDescent="0.25">
      <c r="A161" s="1">
        <f>IF(Raw_data!A161="",NA(),Raw_data!A161)</f>
        <v>44705</v>
      </c>
      <c r="B161" s="14" t="str">
        <f>IF(Raw_data!B161="",NA(),Raw_data!B161)</f>
        <v>Digestive Enzyme</v>
      </c>
      <c r="C161" s="14" t="str">
        <f>IF(Raw_data!C161="",NA(),Raw_data!C161)</f>
        <v>Ritika Shah</v>
      </c>
      <c r="D161" s="15">
        <f>IF(Raw_data!D161="",NA(),Raw_data!D161)</f>
        <v>19</v>
      </c>
      <c r="E161" s="16">
        <f>IF(Raw_data!E161="",NA(),Raw_data!E161)</f>
        <v>326.36</v>
      </c>
      <c r="F161" s="14" t="str">
        <f>IF(Raw_data!F161="",NA(),Raw_data!F161)</f>
        <v>India</v>
      </c>
      <c r="G161">
        <f t="shared" si="2"/>
        <v>1</v>
      </c>
    </row>
    <row r="162" spans="1:7" x14ac:dyDescent="0.25">
      <c r="A162" s="1">
        <f>IF(Raw_data!A162="",NA(),Raw_data!A162)</f>
        <v>44704</v>
      </c>
      <c r="B162" s="14" t="str">
        <f>IF(Raw_data!B162="",NA(),Raw_data!B162)</f>
        <v>Eye Drops</v>
      </c>
      <c r="C162" s="14" t="str">
        <f>IF(Raw_data!C162="",NA(),Raw_data!C162)</f>
        <v>Rajesh Patel</v>
      </c>
      <c r="D162" s="15">
        <f>IF(Raw_data!D162="",NA(),Raw_data!D162)</f>
        <v>1</v>
      </c>
      <c r="E162" s="16">
        <f>IF(Raw_data!E162="",NA(),Raw_data!E162)</f>
        <v>12.41</v>
      </c>
      <c r="F162" s="14" t="str">
        <f>IF(Raw_data!F162="",NA(),Raw_data!F162)</f>
        <v>Australia</v>
      </c>
      <c r="G162">
        <f t="shared" si="2"/>
        <v>1</v>
      </c>
    </row>
    <row r="163" spans="1:7" x14ac:dyDescent="0.25">
      <c r="A163" s="1">
        <f>IF(Raw_data!A163="",NA(),Raw_data!A163)</f>
        <v>44690</v>
      </c>
      <c r="B163" s="14" t="str">
        <f>IF(Raw_data!B163="",NA(),Raw_data!B163)</f>
        <v>Eye Drops</v>
      </c>
      <c r="C163" s="14" t="str">
        <f>IF(Raw_data!C163="",NA(),Raw_data!C163)</f>
        <v>Nikhil Batra</v>
      </c>
      <c r="D163" s="15">
        <f>IF(Raw_data!D163="",NA(),Raw_data!D163)</f>
        <v>15</v>
      </c>
      <c r="E163" s="16">
        <f>IF(Raw_data!E163="",NA(),Raw_data!E163)</f>
        <v>223.3</v>
      </c>
      <c r="F163" s="14" t="str">
        <f>IF(Raw_data!F163="",NA(),Raw_data!F163)</f>
        <v>UK</v>
      </c>
      <c r="G163">
        <f t="shared" si="2"/>
        <v>1</v>
      </c>
    </row>
    <row r="164" spans="1:7" x14ac:dyDescent="0.25">
      <c r="A164" s="1">
        <f>IF(Raw_data!A164="",NA(),Raw_data!A164)</f>
        <v>44593</v>
      </c>
      <c r="B164" s="14" t="str">
        <f>IF(Raw_data!B164="",NA(),Raw_data!B164)</f>
        <v>Nasal Spray</v>
      </c>
      <c r="C164" s="14" t="str">
        <f>IF(Raw_data!C164="",NA(),Raw_data!C164)</f>
        <v>Rajesh Patel</v>
      </c>
      <c r="D164" s="15">
        <f>IF(Raw_data!D164="",NA(),Raw_data!D164)</f>
        <v>19</v>
      </c>
      <c r="E164" s="16">
        <f>IF(Raw_data!E164="",NA(),Raw_data!E164)</f>
        <v>202.9</v>
      </c>
      <c r="F164" s="14" t="str">
        <f>IF(Raw_data!F164="",NA(),Raw_data!F164)</f>
        <v>India</v>
      </c>
      <c r="G164">
        <f t="shared" si="2"/>
        <v>1</v>
      </c>
    </row>
    <row r="165" spans="1:7" x14ac:dyDescent="0.25">
      <c r="A165" s="1">
        <f>IF(Raw_data!A165="",NA(),Raw_data!A165)</f>
        <v>44774</v>
      </c>
      <c r="B165" s="14" t="str">
        <f>IF(Raw_data!B165="",NA(),Raw_data!B165)</f>
        <v>Pain Relief Tablets</v>
      </c>
      <c r="C165" s="14" t="str">
        <f>IF(Raw_data!C165="",NA(),Raw_data!C165)</f>
        <v>Divya Mehra</v>
      </c>
      <c r="D165" s="15">
        <f>IF(Raw_data!D165="",NA(),Raw_data!D165)</f>
        <v>3</v>
      </c>
      <c r="E165" s="16">
        <f>IF(Raw_data!E165="",NA(),Raw_data!E165)</f>
        <v>56.22</v>
      </c>
      <c r="F165" s="14" t="str">
        <f>IF(Raw_data!F165="",NA(),Raw_data!F165)</f>
        <v>USA</v>
      </c>
      <c r="G165">
        <f t="shared" si="2"/>
        <v>1</v>
      </c>
    </row>
    <row r="166" spans="1:7" x14ac:dyDescent="0.25">
      <c r="A166" s="1">
        <f>IF(Raw_data!A166="",NA(),Raw_data!A166)</f>
        <v>44796</v>
      </c>
      <c r="B166" s="14" t="str">
        <f>IF(Raw_data!B166="",NA(),Raw_data!B166)</f>
        <v>Digestive Enzyme</v>
      </c>
      <c r="C166" s="14" t="str">
        <f>IF(Raw_data!C166="",NA(),Raw_data!C166)</f>
        <v>Aman Verma</v>
      </c>
      <c r="D166" s="15">
        <f>IF(Raw_data!D166="",NA(),Raw_data!D166)</f>
        <v>10</v>
      </c>
      <c r="E166" s="16">
        <f>IF(Raw_data!E166="",NA(),Raw_data!E166)</f>
        <v>246.29</v>
      </c>
      <c r="F166" s="14" t="str">
        <f>IF(Raw_data!F166="",NA(),Raw_data!F166)</f>
        <v>Australia</v>
      </c>
      <c r="G166">
        <f t="shared" si="2"/>
        <v>1</v>
      </c>
    </row>
    <row r="167" spans="1:7" x14ac:dyDescent="0.25">
      <c r="A167" s="1">
        <f>IF(Raw_data!A167="",NA(),Raw_data!A167)</f>
        <v>44662</v>
      </c>
      <c r="B167" s="14" t="str">
        <f>IF(Raw_data!B167="",NA(),Raw_data!B167)</f>
        <v>Cough Syrup</v>
      </c>
      <c r="C167" s="14" t="str">
        <f>IF(Raw_data!C167="",NA(),Raw_data!C167)</f>
        <v>Ritika Shah</v>
      </c>
      <c r="D167" s="15">
        <f>IF(Raw_data!D167="",NA(),Raw_data!D167)</f>
        <v>18</v>
      </c>
      <c r="E167" s="16">
        <f>IF(Raw_data!E167="",NA(),Raw_data!E167)</f>
        <v>329.35</v>
      </c>
      <c r="F167" s="14" t="str">
        <f>IF(Raw_data!F167="",NA(),Raw_data!F167)</f>
        <v>India</v>
      </c>
      <c r="G167">
        <f t="shared" si="2"/>
        <v>1</v>
      </c>
    </row>
    <row r="168" spans="1:7" x14ac:dyDescent="0.25">
      <c r="A168" s="1">
        <f>IF(Raw_data!A168="",NA(),Raw_data!A168)</f>
        <v>44670</v>
      </c>
      <c r="B168" s="14" t="str">
        <f>IF(Raw_data!B168="",NA(),Raw_data!B168)</f>
        <v>Nasal Spray</v>
      </c>
      <c r="C168" s="14" t="str">
        <f>IF(Raw_data!C168="",NA(),Raw_data!C168)</f>
        <v>Sneha Iyer</v>
      </c>
      <c r="D168" s="15">
        <f>IF(Raw_data!D168="",NA(),Raw_data!D168)</f>
        <v>14</v>
      </c>
      <c r="E168" s="16">
        <f>IF(Raw_data!E168="",NA(),Raw_data!E168)</f>
        <v>349.22</v>
      </c>
      <c r="F168" s="14" t="str">
        <f>IF(Raw_data!F168="",NA(),Raw_data!F168)</f>
        <v>USA</v>
      </c>
      <c r="G168">
        <f t="shared" si="2"/>
        <v>1</v>
      </c>
    </row>
    <row r="169" spans="1:7" x14ac:dyDescent="0.25">
      <c r="A169" s="1">
        <f>IF(Raw_data!A169="",NA(),Raw_data!A169)</f>
        <v>44603</v>
      </c>
      <c r="B169" s="14" t="str">
        <f>IF(Raw_data!B169="",NA(),Raw_data!B169)</f>
        <v>Pain Relief Tablets</v>
      </c>
      <c r="C169" s="14" t="str">
        <f>IF(Raw_data!C169="",NA(),Raw_data!C169)</f>
        <v>Rajesh Patel</v>
      </c>
      <c r="D169" s="15">
        <f>IF(Raw_data!D169="",NA(),Raw_data!D169)</f>
        <v>15</v>
      </c>
      <c r="E169" s="16">
        <f>IF(Raw_data!E169="",NA(),Raw_data!E169)</f>
        <v>268.43</v>
      </c>
      <c r="F169" s="14" t="str">
        <f>IF(Raw_data!F169="",NA(),Raw_data!F169)</f>
        <v>Canada</v>
      </c>
      <c r="G169">
        <f t="shared" si="2"/>
        <v>1</v>
      </c>
    </row>
    <row r="170" spans="1:7" x14ac:dyDescent="0.25">
      <c r="A170" s="1">
        <f>IF(Raw_data!A170="",NA(),Raw_data!A170)</f>
        <v>44613</v>
      </c>
      <c r="B170" s="14" t="str">
        <f>IF(Raw_data!B170="",NA(),Raw_data!B170)</f>
        <v>Antiseptic Cream</v>
      </c>
      <c r="C170" s="14" t="str">
        <f>IF(Raw_data!C170="",NA(),Raw_data!C170)</f>
        <v>Sneha Iyer</v>
      </c>
      <c r="D170" s="15">
        <f>IF(Raw_data!D170="",NA(),Raw_data!D170)</f>
        <v>14</v>
      </c>
      <c r="E170" s="16">
        <f>IF(Raw_data!E170="",NA(),Raw_data!E170)</f>
        <v>319.69</v>
      </c>
      <c r="F170" s="14" t="str">
        <f>IF(Raw_data!F170="",NA(),Raw_data!F170)</f>
        <v>USA</v>
      </c>
      <c r="G170">
        <f t="shared" si="2"/>
        <v>1</v>
      </c>
    </row>
    <row r="171" spans="1:7" x14ac:dyDescent="0.25">
      <c r="A171" s="1">
        <f>IF(Raw_data!A171="",NA(),Raw_data!A171)</f>
        <v>44735</v>
      </c>
      <c r="B171" s="14" t="str">
        <f>IF(Raw_data!B171="",NA(),Raw_data!B171)</f>
        <v>Nasal Spray</v>
      </c>
      <c r="C171" s="14" t="str">
        <f>IF(Raw_data!C171="",NA(),Raw_data!C171)</f>
        <v>Aman Verma</v>
      </c>
      <c r="D171" s="15">
        <f>IF(Raw_data!D171="",NA(),Raw_data!D171)</f>
        <v>11</v>
      </c>
      <c r="E171" s="16">
        <f>IF(Raw_data!E171="",NA(),Raw_data!E171)</f>
        <v>166.88</v>
      </c>
      <c r="F171" s="14" t="str">
        <f>IF(Raw_data!F171="",NA(),Raw_data!F171)</f>
        <v>Australia</v>
      </c>
      <c r="G171">
        <f t="shared" si="2"/>
        <v>1</v>
      </c>
    </row>
    <row r="172" spans="1:7" x14ac:dyDescent="0.25">
      <c r="A172" s="1">
        <f>IF(Raw_data!A172="",NA(),Raw_data!A172)</f>
        <v>44686</v>
      </c>
      <c r="B172" s="14" t="str">
        <f>IF(Raw_data!B172="",NA(),Raw_data!B172)</f>
        <v>Pain Relief Tablets</v>
      </c>
      <c r="C172" s="14" t="str">
        <f>IF(Raw_data!C172="",NA(),Raw_data!C172)</f>
        <v>Priya Singh</v>
      </c>
      <c r="D172" s="15">
        <f>IF(Raw_data!D172="",NA(),Raw_data!D172)</f>
        <v>2</v>
      </c>
      <c r="E172" s="16">
        <f>IF(Raw_data!E172="",NA(),Raw_data!E172)</f>
        <v>29.69</v>
      </c>
      <c r="F172" s="14" t="str">
        <f>IF(Raw_data!F172="",NA(),Raw_data!F172)</f>
        <v>India</v>
      </c>
      <c r="G172">
        <f t="shared" si="2"/>
        <v>1</v>
      </c>
    </row>
    <row r="173" spans="1:7" x14ac:dyDescent="0.25">
      <c r="A173" s="1">
        <f>IF(Raw_data!A173="",NA(),Raw_data!A173)</f>
        <v>44675</v>
      </c>
      <c r="B173" s="14" t="str">
        <f>IF(Raw_data!B173="",NA(),Raw_data!B173)</f>
        <v>Allergy Pills</v>
      </c>
      <c r="C173" s="14" t="str">
        <f>IF(Raw_data!C173="",NA(),Raw_data!C173)</f>
        <v>Nikhil Batra</v>
      </c>
      <c r="D173" s="15">
        <f>IF(Raw_data!D173="",NA(),Raw_data!D173)</f>
        <v>13</v>
      </c>
      <c r="E173" s="16">
        <f>IF(Raw_data!E173="",NA(),Raw_data!E173)</f>
        <v>193.09</v>
      </c>
      <c r="F173" s="14" t="str">
        <f>IF(Raw_data!F173="",NA(),Raw_data!F173)</f>
        <v>Canada</v>
      </c>
      <c r="G173">
        <f t="shared" si="2"/>
        <v>1</v>
      </c>
    </row>
    <row r="174" spans="1:7" x14ac:dyDescent="0.25">
      <c r="A174" s="1">
        <f>IF(Raw_data!A174="",NA(),Raw_data!A174)</f>
        <v>44738</v>
      </c>
      <c r="B174" s="14" t="str">
        <f>IF(Raw_data!B174="",NA(),Raw_data!B174)</f>
        <v>Allergy Pills</v>
      </c>
      <c r="C174" s="14" t="str">
        <f>IF(Raw_data!C174="",NA(),Raw_data!C174)</f>
        <v>Nikhil Batra</v>
      </c>
      <c r="D174" s="15">
        <f>IF(Raw_data!D174="",NA(),Raw_data!D174)</f>
        <v>16</v>
      </c>
      <c r="E174" s="16">
        <f>IF(Raw_data!E174="",NA(),Raw_data!E174)</f>
        <v>276.52999999999997</v>
      </c>
      <c r="F174" s="14" t="str">
        <f>IF(Raw_data!F174="",NA(),Raw_data!F174)</f>
        <v>India</v>
      </c>
      <c r="G174">
        <f t="shared" si="2"/>
        <v>1</v>
      </c>
    </row>
    <row r="175" spans="1:7" x14ac:dyDescent="0.25">
      <c r="A175" s="1">
        <f>IF(Raw_data!A175="",NA(),Raw_data!A175)</f>
        <v>44794</v>
      </c>
      <c r="B175" s="14" t="str">
        <f>IF(Raw_data!B175="",NA(),Raw_data!B175)</f>
        <v>Pain Relief Tablets</v>
      </c>
      <c r="C175" s="14" t="str">
        <f>IF(Raw_data!C175="",NA(),Raw_data!C175)</f>
        <v>Nikhil Batra</v>
      </c>
      <c r="D175" s="15">
        <f>IF(Raw_data!D175="",NA(),Raw_data!D175)</f>
        <v>2</v>
      </c>
      <c r="E175" s="16">
        <f>IF(Raw_data!E175="",NA(),Raw_data!E175)</f>
        <v>49.91</v>
      </c>
      <c r="F175" s="14" t="str">
        <f>IF(Raw_data!F175="",NA(),Raw_data!F175)</f>
        <v>Australia</v>
      </c>
      <c r="G175">
        <f t="shared" si="2"/>
        <v>1</v>
      </c>
    </row>
    <row r="176" spans="1:7" x14ac:dyDescent="0.25">
      <c r="A176" s="1">
        <f>IF(Raw_data!A176="",NA(),Raw_data!A176)</f>
        <v>44737</v>
      </c>
      <c r="B176" s="14" t="str">
        <f>IF(Raw_data!B176="",NA(),Raw_data!B176)</f>
        <v>Digestive Enzyme</v>
      </c>
      <c r="C176" s="14" t="str">
        <f>IF(Raw_data!C176="",NA(),Raw_data!C176)</f>
        <v>Aman Verma</v>
      </c>
      <c r="D176" s="15">
        <f>IF(Raw_data!D176="",NA(),Raw_data!D176)</f>
        <v>16</v>
      </c>
      <c r="E176" s="16">
        <f>IF(Raw_data!E176="",NA(),Raw_data!E176)</f>
        <v>131.88</v>
      </c>
      <c r="F176" s="14" t="str">
        <f>IF(Raw_data!F176="",NA(),Raw_data!F176)</f>
        <v>Australia</v>
      </c>
      <c r="G176">
        <f t="shared" si="2"/>
        <v>1</v>
      </c>
    </row>
    <row r="177" spans="1:7" x14ac:dyDescent="0.25">
      <c r="A177" s="1">
        <f>IF(Raw_data!A177="",NA(),Raw_data!A177)</f>
        <v>44600</v>
      </c>
      <c r="B177" s="14" t="str">
        <f>IF(Raw_data!B177="",NA(),Raw_data!B177)</f>
        <v>Eye Drops</v>
      </c>
      <c r="C177" s="14" t="str">
        <f>IF(Raw_data!C177="",NA(),Raw_data!C177)</f>
        <v>Rajesh Patel</v>
      </c>
      <c r="D177" s="15">
        <f>IF(Raw_data!D177="",NA(),Raw_data!D177)</f>
        <v>16</v>
      </c>
      <c r="E177" s="16">
        <f>IF(Raw_data!E177="",NA(),Raw_data!E177)</f>
        <v>306.63</v>
      </c>
      <c r="F177" s="14" t="str">
        <f>IF(Raw_data!F177="",NA(),Raw_data!F177)</f>
        <v>Canada</v>
      </c>
      <c r="G177">
        <f t="shared" si="2"/>
        <v>1</v>
      </c>
    </row>
    <row r="178" spans="1:7" x14ac:dyDescent="0.25">
      <c r="A178" s="1">
        <f>IF(Raw_data!A178="",NA(),Raw_data!A178)</f>
        <v>44753</v>
      </c>
      <c r="B178" s="14" t="str">
        <f>IF(Raw_data!B178="",NA(),Raw_data!B178)</f>
        <v>Allergy Pills</v>
      </c>
      <c r="C178" s="14" t="str">
        <f>IF(Raw_data!C178="",NA(),Raw_data!C178)</f>
        <v>Ritika Shah</v>
      </c>
      <c r="D178" s="15">
        <f>IF(Raw_data!D178="",NA(),Raw_data!D178)</f>
        <v>8</v>
      </c>
      <c r="E178" s="16">
        <f>IF(Raw_data!E178="",NA(),Raw_data!E178)</f>
        <v>162.66999999999999</v>
      </c>
      <c r="F178" s="14" t="str">
        <f>IF(Raw_data!F178="",NA(),Raw_data!F178)</f>
        <v>Canada</v>
      </c>
      <c r="G178">
        <f t="shared" si="2"/>
        <v>1</v>
      </c>
    </row>
    <row r="179" spans="1:7" x14ac:dyDescent="0.25">
      <c r="A179" s="1">
        <f>IF(Raw_data!A179="",NA(),Raw_data!A179)</f>
        <v>44766</v>
      </c>
      <c r="B179" s="14" t="str">
        <f>IF(Raw_data!B179="",NA(),Raw_data!B179)</f>
        <v>Allergy Pills</v>
      </c>
      <c r="C179" s="14" t="str">
        <f>IF(Raw_data!C179="",NA(),Raw_data!C179)</f>
        <v>Priya Singh</v>
      </c>
      <c r="D179" s="15">
        <f>IF(Raw_data!D179="",NA(),Raw_data!D179)</f>
        <v>20</v>
      </c>
      <c r="E179" s="16">
        <f>IF(Raw_data!E179="",NA(),Raw_data!E179)</f>
        <v>216.6</v>
      </c>
      <c r="F179" s="14" t="str">
        <f>IF(Raw_data!F179="",NA(),Raw_data!F179)</f>
        <v>India</v>
      </c>
      <c r="G179">
        <f t="shared" si="2"/>
        <v>1</v>
      </c>
    </row>
    <row r="180" spans="1:7" x14ac:dyDescent="0.25">
      <c r="A180" s="1">
        <f>IF(Raw_data!A180="",NA(),Raw_data!A180)</f>
        <v>44709</v>
      </c>
      <c r="B180" s="14" t="str">
        <f>IF(Raw_data!B180="",NA(),Raw_data!B180)</f>
        <v>Antiseptic Cream</v>
      </c>
      <c r="C180" s="14" t="str">
        <f>IF(Raw_data!C180="",NA(),Raw_data!C180)</f>
        <v>Nikhil Batra</v>
      </c>
      <c r="D180" s="15">
        <f>IF(Raw_data!D180="",NA(),Raw_data!D180)</f>
        <v>20</v>
      </c>
      <c r="E180" s="16">
        <f>IF(Raw_data!E180="",NA(),Raw_data!E180)</f>
        <v>427.81</v>
      </c>
      <c r="F180" s="14" t="str">
        <f>IF(Raw_data!F180="",NA(),Raw_data!F180)</f>
        <v>USA</v>
      </c>
      <c r="G180">
        <f t="shared" si="2"/>
        <v>1</v>
      </c>
    </row>
    <row r="181" spans="1:7" x14ac:dyDescent="0.25">
      <c r="A181" s="1">
        <f>IF(Raw_data!A181="",NA(),Raw_data!A181)</f>
        <v>44706</v>
      </c>
      <c r="B181" s="14" t="str">
        <f>IF(Raw_data!B181="",NA(),Raw_data!B181)</f>
        <v>Nasal Spray</v>
      </c>
      <c r="C181" s="14" t="str">
        <f>IF(Raw_data!C181="",NA(),Raw_data!C181)</f>
        <v>Priya Singh</v>
      </c>
      <c r="D181" s="15">
        <f>IF(Raw_data!D181="",NA(),Raw_data!D181)</f>
        <v>5</v>
      </c>
      <c r="E181" s="16">
        <f>IF(Raw_data!E181="",NA(),Raw_data!E181)</f>
        <v>79.489999999999995</v>
      </c>
      <c r="F181" s="14" t="str">
        <f>IF(Raw_data!F181="",NA(),Raw_data!F181)</f>
        <v>Australia</v>
      </c>
      <c r="G181">
        <f t="shared" si="2"/>
        <v>1</v>
      </c>
    </row>
    <row r="182" spans="1:7" x14ac:dyDescent="0.25">
      <c r="A182" s="1">
        <f>IF(Raw_data!A182="",NA(),Raw_data!A182)</f>
        <v>44728</v>
      </c>
      <c r="B182" s="14" t="str">
        <f>IF(Raw_data!B182="",NA(),Raw_data!B182)</f>
        <v>Nasal Spray</v>
      </c>
      <c r="C182" s="14" t="str">
        <f>IF(Raw_data!C182="",NA(),Raw_data!C182)</f>
        <v>Divya Mehra</v>
      </c>
      <c r="D182" s="15">
        <f>IF(Raw_data!D182="",NA(),Raw_data!D182)</f>
        <v>16</v>
      </c>
      <c r="E182" s="16">
        <f>IF(Raw_data!E182="",NA(),Raw_data!E182)</f>
        <v>300.37</v>
      </c>
      <c r="F182" s="14" t="str">
        <f>IF(Raw_data!F182="",NA(),Raw_data!F182)</f>
        <v>UK</v>
      </c>
      <c r="G182">
        <f t="shared" si="2"/>
        <v>1</v>
      </c>
    </row>
    <row r="183" spans="1:7" x14ac:dyDescent="0.25">
      <c r="A183" s="1">
        <f>IF(Raw_data!A183="",NA(),Raw_data!A183)</f>
        <v>44610</v>
      </c>
      <c r="B183" s="14" t="str">
        <f>IF(Raw_data!B183="",NA(),Raw_data!B183)</f>
        <v>Eye Drops</v>
      </c>
      <c r="C183" s="14" t="str">
        <f>IF(Raw_data!C183="",NA(),Raw_data!C183)</f>
        <v>Divya Mehra</v>
      </c>
      <c r="D183" s="15">
        <f>IF(Raw_data!D183="",NA(),Raw_data!D183)</f>
        <v>3</v>
      </c>
      <c r="E183" s="16">
        <f>IF(Raw_data!E183="",NA(),Raw_data!E183)</f>
        <v>73.09</v>
      </c>
      <c r="F183" s="14" t="str">
        <f>IF(Raw_data!F183="",NA(),Raw_data!F183)</f>
        <v>Canada</v>
      </c>
      <c r="G183">
        <f t="shared" si="2"/>
        <v>1</v>
      </c>
    </row>
    <row r="184" spans="1:7" x14ac:dyDescent="0.25">
      <c r="A184" s="1">
        <f>IF(Raw_data!A184="",NA(),Raw_data!A184)</f>
        <v>44675</v>
      </c>
      <c r="B184" s="14" t="str">
        <f>IF(Raw_data!B184="",NA(),Raw_data!B184)</f>
        <v>Pain Relief Tablets</v>
      </c>
      <c r="C184" s="14" t="str">
        <f>IF(Raw_data!C184="",NA(),Raw_data!C184)</f>
        <v>Priya Singh</v>
      </c>
      <c r="D184" s="15">
        <f>IF(Raw_data!D184="",NA(),Raw_data!D184)</f>
        <v>11</v>
      </c>
      <c r="E184" s="16">
        <f>IF(Raw_data!E184="",NA(),Raw_data!E184)</f>
        <v>125.38</v>
      </c>
      <c r="F184" s="14" t="str">
        <f>IF(Raw_data!F184="",NA(),Raw_data!F184)</f>
        <v>USA</v>
      </c>
      <c r="G184">
        <f t="shared" si="2"/>
        <v>1</v>
      </c>
    </row>
    <row r="185" spans="1:7" x14ac:dyDescent="0.25">
      <c r="A185" s="1">
        <f>IF(Raw_data!A185="",NA(),Raw_data!A185)</f>
        <v>44699</v>
      </c>
      <c r="B185" s="14" t="str">
        <f>IF(Raw_data!B185="",NA(),Raw_data!B185)</f>
        <v>Antiseptic Cream</v>
      </c>
      <c r="C185" s="14" t="str">
        <f>IF(Raw_data!C185="",NA(),Raw_data!C185)</f>
        <v>Nikhil Batra</v>
      </c>
      <c r="D185" s="15">
        <f>IF(Raw_data!D185="",NA(),Raw_data!D185)</f>
        <v>15</v>
      </c>
      <c r="E185" s="16">
        <f>IF(Raw_data!E185="",NA(),Raw_data!E185)</f>
        <v>155.47999999999999</v>
      </c>
      <c r="F185" s="14" t="str">
        <f>IF(Raw_data!F185="",NA(),Raw_data!F185)</f>
        <v>USA</v>
      </c>
      <c r="G185">
        <f t="shared" si="2"/>
        <v>1</v>
      </c>
    </row>
    <row r="186" spans="1:7" x14ac:dyDescent="0.25">
      <c r="A186" s="1">
        <f>IF(Raw_data!A186="",NA(),Raw_data!A186)</f>
        <v>44756</v>
      </c>
      <c r="B186" s="14" t="str">
        <f>IF(Raw_data!B186="",NA(),Raw_data!B186)</f>
        <v>Cough Syrup</v>
      </c>
      <c r="C186" s="14" t="str">
        <f>IF(Raw_data!C186="",NA(),Raw_data!C186)</f>
        <v>Ritika Shah</v>
      </c>
      <c r="D186" s="15">
        <f>IF(Raw_data!D186="",NA(),Raw_data!D186)</f>
        <v>16</v>
      </c>
      <c r="E186" s="16">
        <f>IF(Raw_data!E186="",NA(),Raw_data!E186)</f>
        <v>340.68</v>
      </c>
      <c r="F186" s="14" t="str">
        <f>IF(Raw_data!F186="",NA(),Raw_data!F186)</f>
        <v>UK</v>
      </c>
      <c r="G186">
        <f t="shared" si="2"/>
        <v>1</v>
      </c>
    </row>
    <row r="187" spans="1:7" x14ac:dyDescent="0.25">
      <c r="A187" s="1">
        <f>IF(Raw_data!A187="",NA(),Raw_data!A187)</f>
        <v>44765</v>
      </c>
      <c r="B187" s="14" t="str">
        <f>IF(Raw_data!B187="",NA(),Raw_data!B187)</f>
        <v>Pain Relief Tablets</v>
      </c>
      <c r="C187" s="14" t="str">
        <f>IF(Raw_data!C187="",NA(),Raw_data!C187)</f>
        <v>Divya Mehra</v>
      </c>
      <c r="D187" s="15">
        <f>IF(Raw_data!D187="",NA(),Raw_data!D187)</f>
        <v>5</v>
      </c>
      <c r="E187" s="16">
        <f>IF(Raw_data!E187="",NA(),Raw_data!E187)</f>
        <v>49.44</v>
      </c>
      <c r="F187" s="14" t="str">
        <f>IF(Raw_data!F187="",NA(),Raw_data!F187)</f>
        <v>Australia</v>
      </c>
      <c r="G187">
        <f t="shared" si="2"/>
        <v>1</v>
      </c>
    </row>
    <row r="188" spans="1:7" x14ac:dyDescent="0.25">
      <c r="A188" s="1">
        <f>IF(Raw_data!A188="",NA(),Raw_data!A188)</f>
        <v>44744</v>
      </c>
      <c r="B188" s="14" t="str">
        <f>IF(Raw_data!B188="",NA(),Raw_data!B188)</f>
        <v>Antiseptic Cream</v>
      </c>
      <c r="C188" s="14" t="str">
        <f>IF(Raw_data!C188="",NA(),Raw_data!C188)</f>
        <v>Rajesh Patel</v>
      </c>
      <c r="D188" s="15">
        <f>IF(Raw_data!D188="",NA(),Raw_data!D188)</f>
        <v>14</v>
      </c>
      <c r="E188" s="16">
        <f>IF(Raw_data!E188="",NA(),Raw_data!E188)</f>
        <v>344.7</v>
      </c>
      <c r="F188" s="14" t="str">
        <f>IF(Raw_data!F188="",NA(),Raw_data!F188)</f>
        <v>USA</v>
      </c>
      <c r="G188">
        <f t="shared" si="2"/>
        <v>1</v>
      </c>
    </row>
    <row r="189" spans="1:7" x14ac:dyDescent="0.25">
      <c r="A189" s="1">
        <f>IF(Raw_data!A189="",NA(),Raw_data!A189)</f>
        <v>44748</v>
      </c>
      <c r="B189" s="14" t="str">
        <f>IF(Raw_data!B189="",NA(),Raw_data!B189)</f>
        <v>Eye Drops</v>
      </c>
      <c r="C189" s="14" t="str">
        <f>IF(Raw_data!C189="",NA(),Raw_data!C189)</f>
        <v>Divya Mehra</v>
      </c>
      <c r="D189" s="15">
        <f>IF(Raw_data!D189="",NA(),Raw_data!D189)</f>
        <v>5</v>
      </c>
      <c r="E189" s="16">
        <f>IF(Raw_data!E189="",NA(),Raw_data!E189)</f>
        <v>95.03</v>
      </c>
      <c r="F189" s="14" t="str">
        <f>IF(Raw_data!F189="",NA(),Raw_data!F189)</f>
        <v>Australia</v>
      </c>
      <c r="G189">
        <f t="shared" si="2"/>
        <v>1</v>
      </c>
    </row>
    <row r="190" spans="1:7" x14ac:dyDescent="0.25">
      <c r="A190" s="1">
        <f>IF(Raw_data!A190="",NA(),Raw_data!A190)</f>
        <v>44673</v>
      </c>
      <c r="B190" s="14" t="str">
        <f>IF(Raw_data!B190="",NA(),Raw_data!B190)</f>
        <v>Eye Drops</v>
      </c>
      <c r="C190" s="14" t="str">
        <f>IF(Raw_data!C190="",NA(),Raw_data!C190)</f>
        <v>Sneha Iyer</v>
      </c>
      <c r="D190" s="15">
        <f>IF(Raw_data!D190="",NA(),Raw_data!D190)</f>
        <v>3</v>
      </c>
      <c r="E190" s="16">
        <f>IF(Raw_data!E190="",NA(),Raw_data!E190)</f>
        <v>52.4</v>
      </c>
      <c r="F190" s="14" t="str">
        <f>IF(Raw_data!F190="",NA(),Raw_data!F190)</f>
        <v>USA</v>
      </c>
      <c r="G190">
        <f t="shared" si="2"/>
        <v>1</v>
      </c>
    </row>
    <row r="191" spans="1:7" x14ac:dyDescent="0.25">
      <c r="A191" s="1">
        <f>IF(Raw_data!A191="",NA(),Raw_data!A191)</f>
        <v>44677</v>
      </c>
      <c r="B191" s="14" t="str">
        <f>IF(Raw_data!B191="",NA(),Raw_data!B191)</f>
        <v>Nasal Spray</v>
      </c>
      <c r="C191" s="14" t="str">
        <f>IF(Raw_data!C191="",NA(),Raw_data!C191)</f>
        <v>Nikhil Batra</v>
      </c>
      <c r="D191" s="15">
        <f>IF(Raw_data!D191="",NA(),Raw_data!D191)</f>
        <v>5</v>
      </c>
      <c r="E191" s="16">
        <f>IF(Raw_data!E191="",NA(),Raw_data!E191)</f>
        <v>106.94</v>
      </c>
      <c r="F191" s="14" t="str">
        <f>IF(Raw_data!F191="",NA(),Raw_data!F191)</f>
        <v>USA</v>
      </c>
      <c r="G191">
        <f t="shared" si="2"/>
        <v>1</v>
      </c>
    </row>
    <row r="192" spans="1:7" x14ac:dyDescent="0.25">
      <c r="A192" s="1">
        <f>IF(Raw_data!A192="",NA(),Raw_data!A192)</f>
        <v>44645</v>
      </c>
      <c r="B192" s="14" t="str">
        <f>IF(Raw_data!B192="",NA(),Raw_data!B192)</f>
        <v>Antiseptic Cream</v>
      </c>
      <c r="C192" s="14" t="str">
        <f>IF(Raw_data!C192="",NA(),Raw_data!C192)</f>
        <v>Priya Singh</v>
      </c>
      <c r="D192" s="15">
        <f>IF(Raw_data!D192="",NA(),Raw_data!D192)</f>
        <v>5</v>
      </c>
      <c r="E192" s="16">
        <f>IF(Raw_data!E192="",NA(),Raw_data!E192)</f>
        <v>94.04</v>
      </c>
      <c r="F192" s="14" t="str">
        <f>IF(Raw_data!F192="",NA(),Raw_data!F192)</f>
        <v>USA</v>
      </c>
      <c r="G192">
        <f t="shared" si="2"/>
        <v>1</v>
      </c>
    </row>
    <row r="193" spans="1:7" x14ac:dyDescent="0.25">
      <c r="A193" s="1">
        <f>IF(Raw_data!A193="",NA(),Raw_data!A193)</f>
        <v>44567</v>
      </c>
      <c r="B193" s="14" t="str">
        <f>IF(Raw_data!B193="",NA(),Raw_data!B193)</f>
        <v>Eye Drops</v>
      </c>
      <c r="C193" s="14" t="str">
        <f>IF(Raw_data!C193="",NA(),Raw_data!C193)</f>
        <v>Sneha Iyer</v>
      </c>
      <c r="D193" s="15">
        <f>IF(Raw_data!D193="",NA(),Raw_data!D193)</f>
        <v>3</v>
      </c>
      <c r="E193" s="16">
        <f>IF(Raw_data!E193="",NA(),Raw_data!E193)</f>
        <v>54.15</v>
      </c>
      <c r="F193" s="14" t="str">
        <f>IF(Raw_data!F193="",NA(),Raw_data!F193)</f>
        <v>Canada</v>
      </c>
      <c r="G193">
        <f t="shared" si="2"/>
        <v>1</v>
      </c>
    </row>
    <row r="194" spans="1:7" x14ac:dyDescent="0.25">
      <c r="A194" s="1">
        <f>IF(Raw_data!A194="",NA(),Raw_data!A194)</f>
        <v>44681</v>
      </c>
      <c r="B194" s="14" t="str">
        <f>IF(Raw_data!B194="",NA(),Raw_data!B194)</f>
        <v>Allergy Pills</v>
      </c>
      <c r="C194" s="14" t="str">
        <f>IF(Raw_data!C194="",NA(),Raw_data!C194)</f>
        <v>Ritika Shah</v>
      </c>
      <c r="D194" s="15">
        <f>IF(Raw_data!D194="",NA(),Raw_data!D194)</f>
        <v>14</v>
      </c>
      <c r="E194" s="16">
        <f>IF(Raw_data!E194="",NA(),Raw_data!E194)</f>
        <v>115.82</v>
      </c>
      <c r="F194" s="14" t="str">
        <f>IF(Raw_data!F194="",NA(),Raw_data!F194)</f>
        <v>UK</v>
      </c>
      <c r="G194">
        <f t="shared" ref="G194:G257" si="3">COUNTIFS(A:A,A194,B:B,B194,C:C,C194,D:D,D194,E:E,E194,F:F,F194)</f>
        <v>1</v>
      </c>
    </row>
    <row r="195" spans="1:7" x14ac:dyDescent="0.25">
      <c r="A195" s="1">
        <f>IF(Raw_data!A195="",NA(),Raw_data!A195)</f>
        <v>44731</v>
      </c>
      <c r="B195" s="14" t="str">
        <f>IF(Raw_data!B195="",NA(),Raw_data!B195)</f>
        <v>Allergy Pills</v>
      </c>
      <c r="C195" s="14" t="str">
        <f>IF(Raw_data!C195="",NA(),Raw_data!C195)</f>
        <v>Rajesh Patel</v>
      </c>
      <c r="D195" s="15">
        <f>IF(Raw_data!D195="",NA(),Raw_data!D195)</f>
        <v>9</v>
      </c>
      <c r="E195" s="16">
        <f>IF(Raw_data!E195="",NA(),Raw_data!E195)</f>
        <v>204</v>
      </c>
      <c r="F195" s="14" t="str">
        <f>IF(Raw_data!F195="",NA(),Raw_data!F195)</f>
        <v>UK</v>
      </c>
      <c r="G195">
        <f t="shared" si="3"/>
        <v>1</v>
      </c>
    </row>
    <row r="196" spans="1:7" x14ac:dyDescent="0.25">
      <c r="A196" s="1">
        <f>IF(Raw_data!A196="",NA(),Raw_data!A196)</f>
        <v>44749</v>
      </c>
      <c r="B196" s="14" t="str">
        <f>IF(Raw_data!B196="",NA(),Raw_data!B196)</f>
        <v>Allergy Pills</v>
      </c>
      <c r="C196" s="14" t="str">
        <f>IF(Raw_data!C196="",NA(),Raw_data!C196)</f>
        <v>Rajesh Patel</v>
      </c>
      <c r="D196" s="15">
        <f>IF(Raw_data!D196="",NA(),Raw_data!D196)</f>
        <v>1</v>
      </c>
      <c r="E196" s="16">
        <f>IF(Raw_data!E196="",NA(),Raw_data!E196)</f>
        <v>19.920000000000002</v>
      </c>
      <c r="F196" s="14" t="str">
        <f>IF(Raw_data!F196="",NA(),Raw_data!F196)</f>
        <v>UK</v>
      </c>
      <c r="G196">
        <f t="shared" si="3"/>
        <v>1</v>
      </c>
    </row>
    <row r="197" spans="1:7" x14ac:dyDescent="0.25">
      <c r="A197" s="1">
        <f>IF(Raw_data!A197="",NA(),Raw_data!A197)</f>
        <v>44708</v>
      </c>
      <c r="B197" s="14" t="str">
        <f>IF(Raw_data!B197="",NA(),Raw_data!B197)</f>
        <v>Digestive Enzyme</v>
      </c>
      <c r="C197" s="14" t="str">
        <f>IF(Raw_data!C197="",NA(),Raw_data!C197)</f>
        <v>Ritika Shah</v>
      </c>
      <c r="D197" s="15">
        <f>IF(Raw_data!D197="",NA(),Raw_data!D197)</f>
        <v>12</v>
      </c>
      <c r="E197" s="16">
        <f>IF(Raw_data!E197="",NA(),Raw_data!E197)</f>
        <v>151.09</v>
      </c>
      <c r="F197" s="14" t="str">
        <f>IF(Raw_data!F197="",NA(),Raw_data!F197)</f>
        <v>Canada</v>
      </c>
      <c r="G197">
        <f t="shared" si="3"/>
        <v>1</v>
      </c>
    </row>
    <row r="198" spans="1:7" x14ac:dyDescent="0.25">
      <c r="A198" s="1">
        <f>IF(Raw_data!A198="",NA(),Raw_data!A198)</f>
        <v>44769</v>
      </c>
      <c r="B198" s="14" t="str">
        <f>IF(Raw_data!B198="",NA(),Raw_data!B198)</f>
        <v>Cough Syrup</v>
      </c>
      <c r="C198" s="14" t="str">
        <f>IF(Raw_data!C198="",NA(),Raw_data!C198)</f>
        <v>Priya Singh</v>
      </c>
      <c r="D198" s="15">
        <f>IF(Raw_data!D198="",NA(),Raw_data!D198)</f>
        <v>3</v>
      </c>
      <c r="E198" s="16">
        <f>IF(Raw_data!E198="",NA(),Raw_data!E198)</f>
        <v>59.89</v>
      </c>
      <c r="F198" s="14" t="str">
        <f>IF(Raw_data!F198="",NA(),Raw_data!F198)</f>
        <v>India</v>
      </c>
      <c r="G198">
        <f t="shared" si="3"/>
        <v>1</v>
      </c>
    </row>
    <row r="199" spans="1:7" x14ac:dyDescent="0.25">
      <c r="A199" s="1">
        <f>IF(Raw_data!A199="",NA(),Raw_data!A199)</f>
        <v>44712</v>
      </c>
      <c r="B199" s="14" t="str">
        <f>IF(Raw_data!B199="",NA(),Raw_data!B199)</f>
        <v>Eye Drops</v>
      </c>
      <c r="C199" s="14" t="str">
        <f>IF(Raw_data!C199="",NA(),Raw_data!C199)</f>
        <v>Ritika Shah</v>
      </c>
      <c r="D199" s="15">
        <f>IF(Raw_data!D199="",NA(),Raw_data!D199)</f>
        <v>15</v>
      </c>
      <c r="E199" s="16">
        <f>IF(Raw_data!E199="",NA(),Raw_data!E199)</f>
        <v>363.94</v>
      </c>
      <c r="F199" s="14" t="str">
        <f>IF(Raw_data!F199="",NA(),Raw_data!F199)</f>
        <v>Canada</v>
      </c>
      <c r="G199">
        <f t="shared" si="3"/>
        <v>1</v>
      </c>
    </row>
    <row r="200" spans="1:7" x14ac:dyDescent="0.25">
      <c r="A200" s="1">
        <f>IF(Raw_data!A200="",NA(),Raw_data!A200)</f>
        <v>44699</v>
      </c>
      <c r="B200" s="14" t="str">
        <f>IF(Raw_data!B200="",NA(),Raw_data!B200)</f>
        <v>Digestive Enzyme</v>
      </c>
      <c r="C200" s="14" t="str">
        <f>IF(Raw_data!C200="",NA(),Raw_data!C200)</f>
        <v>Sneha Iyer</v>
      </c>
      <c r="D200" s="15">
        <f>IF(Raw_data!D200="",NA(),Raw_data!D200)</f>
        <v>7</v>
      </c>
      <c r="E200" s="16">
        <f>IF(Raw_data!E200="",NA(),Raw_data!E200)</f>
        <v>91.95</v>
      </c>
      <c r="F200" s="14" t="str">
        <f>IF(Raw_data!F200="",NA(),Raw_data!F200)</f>
        <v>UK</v>
      </c>
      <c r="G200">
        <f t="shared" si="3"/>
        <v>1</v>
      </c>
    </row>
    <row r="201" spans="1:7" x14ac:dyDescent="0.25">
      <c r="A201" s="1">
        <f>IF(Raw_data!A201="",NA(),Raw_data!A201)</f>
        <v>44728</v>
      </c>
      <c r="B201" s="14" t="str">
        <f>IF(Raw_data!B201="",NA(),Raw_data!B201)</f>
        <v>Allergy Pills</v>
      </c>
      <c r="C201" s="14" t="str">
        <f>IF(Raw_data!C201="",NA(),Raw_data!C201)</f>
        <v>Priya Singh</v>
      </c>
      <c r="D201" s="15">
        <f>IF(Raw_data!D201="",NA(),Raw_data!D201)</f>
        <v>15</v>
      </c>
      <c r="E201" s="16">
        <f>IF(Raw_data!E201="",NA(),Raw_data!E201)</f>
        <v>150.34</v>
      </c>
      <c r="F201" s="14" t="str">
        <f>IF(Raw_data!F201="",NA(),Raw_data!F201)</f>
        <v>UK</v>
      </c>
      <c r="G201">
        <f t="shared" si="3"/>
        <v>1</v>
      </c>
    </row>
    <row r="202" spans="1:7" x14ac:dyDescent="0.25">
      <c r="A202" s="1">
        <f>IF(Raw_data!A202="",NA(),Raw_data!A202)</f>
        <v>44698</v>
      </c>
      <c r="B202" s="14" t="str">
        <f>IF(Raw_data!B202="",NA(),Raw_data!B202)</f>
        <v>Allergy Pills</v>
      </c>
      <c r="C202" s="14" t="str">
        <f>IF(Raw_data!C202="",NA(),Raw_data!C202)</f>
        <v>Ritika Shah</v>
      </c>
      <c r="D202" s="15">
        <f>IF(Raw_data!D202="",NA(),Raw_data!D202)</f>
        <v>17</v>
      </c>
      <c r="E202" s="16">
        <f>IF(Raw_data!E202="",NA(),Raw_data!E202)</f>
        <v>180.65</v>
      </c>
      <c r="F202" s="14" t="str">
        <f>IF(Raw_data!F202="",NA(),Raw_data!F202)</f>
        <v>Australia</v>
      </c>
      <c r="G202">
        <f t="shared" si="3"/>
        <v>1</v>
      </c>
    </row>
    <row r="203" spans="1:7" x14ac:dyDescent="0.25">
      <c r="A203" s="1">
        <f>IF(Raw_data!A203="",NA(),Raw_data!A203)</f>
        <v>44597</v>
      </c>
      <c r="B203" s="14" t="str">
        <f>IF(Raw_data!B203="",NA(),Raw_data!B203)</f>
        <v>Digestive Enzyme</v>
      </c>
      <c r="C203" s="14" t="str">
        <f>IF(Raw_data!C203="",NA(),Raw_data!C203)</f>
        <v>Rajesh Patel</v>
      </c>
      <c r="D203" s="15">
        <f>IF(Raw_data!D203="",NA(),Raw_data!D203)</f>
        <v>8</v>
      </c>
      <c r="E203" s="16">
        <f>IF(Raw_data!E203="",NA(),Raw_data!E203)</f>
        <v>110.6</v>
      </c>
      <c r="F203" s="14" t="str">
        <f>IF(Raw_data!F203="",NA(),Raw_data!F203)</f>
        <v>India</v>
      </c>
      <c r="G203">
        <f t="shared" si="3"/>
        <v>1</v>
      </c>
    </row>
    <row r="204" spans="1:7" x14ac:dyDescent="0.25">
      <c r="A204" s="1">
        <f>IF(Raw_data!A204="",NA(),Raw_data!A204)</f>
        <v>44665</v>
      </c>
      <c r="B204" s="14" t="str">
        <f>IF(Raw_data!B204="",NA(),Raw_data!B204)</f>
        <v>Pain Relief Tablets</v>
      </c>
      <c r="C204" s="14" t="str">
        <f>IF(Raw_data!C204="",NA(),Raw_data!C204)</f>
        <v>Nikhil Batra</v>
      </c>
      <c r="D204" s="15">
        <f>IF(Raw_data!D204="",NA(),Raw_data!D204)</f>
        <v>20</v>
      </c>
      <c r="E204" s="16">
        <f>IF(Raw_data!E204="",NA(),Raw_data!E204)</f>
        <v>330.3</v>
      </c>
      <c r="F204" s="14" t="str">
        <f>IF(Raw_data!F204="",NA(),Raw_data!F204)</f>
        <v>Australia</v>
      </c>
      <c r="G204">
        <f t="shared" si="3"/>
        <v>1</v>
      </c>
    </row>
    <row r="205" spans="1:7" x14ac:dyDescent="0.25">
      <c r="A205" s="1">
        <f>IF(Raw_data!A205="",NA(),Raw_data!A205)</f>
        <v>44743</v>
      </c>
      <c r="B205" s="14" t="str">
        <f>IF(Raw_data!B205="",NA(),Raw_data!B205)</f>
        <v>Cough Syrup</v>
      </c>
      <c r="C205" s="14" t="str">
        <f>IF(Raw_data!C205="",NA(),Raw_data!C205)</f>
        <v>Aman Verma</v>
      </c>
      <c r="D205" s="15">
        <f>IF(Raw_data!D205="",NA(),Raw_data!D205)</f>
        <v>8</v>
      </c>
      <c r="E205" s="16">
        <f>IF(Raw_data!E205="",NA(),Raw_data!E205)</f>
        <v>93.83</v>
      </c>
      <c r="F205" s="14" t="str">
        <f>IF(Raw_data!F205="",NA(),Raw_data!F205)</f>
        <v>USA</v>
      </c>
      <c r="G205">
        <f t="shared" si="3"/>
        <v>1</v>
      </c>
    </row>
    <row r="206" spans="1:7" x14ac:dyDescent="0.25">
      <c r="A206" s="1">
        <f>IF(Raw_data!A206="",NA(),Raw_data!A206)</f>
        <v>44572</v>
      </c>
      <c r="B206" s="14" t="str">
        <f>IF(Raw_data!B206="",NA(),Raw_data!B206)</f>
        <v>Antiseptic Cream</v>
      </c>
      <c r="C206" s="14" t="str">
        <f>IF(Raw_data!C206="",NA(),Raw_data!C206)</f>
        <v>Divya Mehra</v>
      </c>
      <c r="D206" s="15">
        <f>IF(Raw_data!D206="",NA(),Raw_data!D206)</f>
        <v>19</v>
      </c>
      <c r="E206" s="16">
        <f>IF(Raw_data!E206="",NA(),Raw_data!E206)</f>
        <v>210.77</v>
      </c>
      <c r="F206" s="14" t="str">
        <f>IF(Raw_data!F206="",NA(),Raw_data!F206)</f>
        <v>UK</v>
      </c>
      <c r="G206">
        <f t="shared" si="3"/>
        <v>1</v>
      </c>
    </row>
    <row r="207" spans="1:7" x14ac:dyDescent="0.25">
      <c r="A207" s="1">
        <f>IF(Raw_data!A207="",NA(),Raw_data!A207)</f>
        <v>44721</v>
      </c>
      <c r="B207" s="14" t="str">
        <f>IF(Raw_data!B207="",NA(),Raw_data!B207)</f>
        <v>Pain Relief Tablets</v>
      </c>
      <c r="C207" s="14" t="str">
        <f>IF(Raw_data!C207="",NA(),Raw_data!C207)</f>
        <v>Ritika Shah</v>
      </c>
      <c r="D207" s="15">
        <f>IF(Raw_data!D207="",NA(),Raw_data!D207)</f>
        <v>14</v>
      </c>
      <c r="E207" s="16">
        <f>IF(Raw_data!E207="",NA(),Raw_data!E207)</f>
        <v>307.75</v>
      </c>
      <c r="F207" s="14" t="str">
        <f>IF(Raw_data!F207="",NA(),Raw_data!F207)</f>
        <v>USA</v>
      </c>
      <c r="G207">
        <f t="shared" si="3"/>
        <v>1</v>
      </c>
    </row>
    <row r="208" spans="1:7" x14ac:dyDescent="0.25">
      <c r="A208" s="1">
        <f>IF(Raw_data!A208="",NA(),Raw_data!A208)</f>
        <v>44714</v>
      </c>
      <c r="B208" s="14" t="str">
        <f>IF(Raw_data!B208="",NA(),Raw_data!B208)</f>
        <v>Digestive Enzyme</v>
      </c>
      <c r="C208" s="14" t="str">
        <f>IF(Raw_data!C208="",NA(),Raw_data!C208)</f>
        <v>Rajesh Patel</v>
      </c>
      <c r="D208" s="15">
        <f>IF(Raw_data!D208="",NA(),Raw_data!D208)</f>
        <v>18</v>
      </c>
      <c r="E208" s="16">
        <f>IF(Raw_data!E208="",NA(),Raw_data!E208)</f>
        <v>149.85</v>
      </c>
      <c r="F208" s="14" t="str">
        <f>IF(Raw_data!F208="",NA(),Raw_data!F208)</f>
        <v>Australia</v>
      </c>
      <c r="G208">
        <f t="shared" si="3"/>
        <v>1</v>
      </c>
    </row>
    <row r="209" spans="1:7" x14ac:dyDescent="0.25">
      <c r="A209" s="1">
        <f>IF(Raw_data!A209="",NA(),Raw_data!A209)</f>
        <v>44751</v>
      </c>
      <c r="B209" s="14" t="str">
        <f>IF(Raw_data!B209="",NA(),Raw_data!B209)</f>
        <v>Allergy Pills</v>
      </c>
      <c r="C209" s="14" t="str">
        <f>IF(Raw_data!C209="",NA(),Raw_data!C209)</f>
        <v>Aman Verma</v>
      </c>
      <c r="D209" s="15">
        <f>IF(Raw_data!D209="",NA(),Raw_data!D209)</f>
        <v>20</v>
      </c>
      <c r="E209" s="16">
        <f>IF(Raw_data!E209="",NA(),Raw_data!E209)</f>
        <v>176.04</v>
      </c>
      <c r="F209" s="14" t="str">
        <f>IF(Raw_data!F209="",NA(),Raw_data!F209)</f>
        <v>UK</v>
      </c>
      <c r="G209">
        <f t="shared" si="3"/>
        <v>1</v>
      </c>
    </row>
    <row r="210" spans="1:7" x14ac:dyDescent="0.25">
      <c r="A210" s="1">
        <f>IF(Raw_data!A210="",NA(),Raw_data!A210)</f>
        <v>44752</v>
      </c>
      <c r="B210" s="14" t="str">
        <f>IF(Raw_data!B210="",NA(),Raw_data!B210)</f>
        <v>Eye Drops</v>
      </c>
      <c r="C210" s="14" t="str">
        <f>IF(Raw_data!C210="",NA(),Raw_data!C210)</f>
        <v>Divya Mehra</v>
      </c>
      <c r="D210" s="15">
        <f>IF(Raw_data!D210="",NA(),Raw_data!D210)</f>
        <v>8</v>
      </c>
      <c r="E210" s="16">
        <f>IF(Raw_data!E210="",NA(),Raw_data!E210)</f>
        <v>102.72</v>
      </c>
      <c r="F210" s="14" t="str">
        <f>IF(Raw_data!F210="",NA(),Raw_data!F210)</f>
        <v>USA</v>
      </c>
      <c r="G210">
        <f t="shared" si="3"/>
        <v>1</v>
      </c>
    </row>
    <row r="211" spans="1:7" x14ac:dyDescent="0.25">
      <c r="A211" s="1">
        <f>IF(Raw_data!A211="",NA(),Raw_data!A211)</f>
        <v>44779</v>
      </c>
      <c r="B211" s="14" t="str">
        <f>IF(Raw_data!B211="",NA(),Raw_data!B211)</f>
        <v>Cough Syrup</v>
      </c>
      <c r="C211" s="14" t="str">
        <f>IF(Raw_data!C211="",NA(),Raw_data!C211)</f>
        <v>Priya Singh</v>
      </c>
      <c r="D211" s="15">
        <f>IF(Raw_data!D211="",NA(),Raw_data!D211)</f>
        <v>18</v>
      </c>
      <c r="E211" s="16">
        <f>IF(Raw_data!E211="",NA(),Raw_data!E211)</f>
        <v>224.44</v>
      </c>
      <c r="F211" s="14" t="str">
        <f>IF(Raw_data!F211="",NA(),Raw_data!F211)</f>
        <v>Australia</v>
      </c>
      <c r="G211">
        <f t="shared" si="3"/>
        <v>1</v>
      </c>
    </row>
    <row r="212" spans="1:7" x14ac:dyDescent="0.25">
      <c r="A212" s="1">
        <f>IF(Raw_data!A212="",NA(),Raw_data!A212)</f>
        <v>44606</v>
      </c>
      <c r="B212" s="14" t="str">
        <f>IF(Raw_data!B212="",NA(),Raw_data!B212)</f>
        <v>Nasal Spray</v>
      </c>
      <c r="C212" s="14" t="str">
        <f>IF(Raw_data!C212="",NA(),Raw_data!C212)</f>
        <v>Sneha Iyer</v>
      </c>
      <c r="D212" s="15">
        <f>IF(Raw_data!D212="",NA(),Raw_data!D212)</f>
        <v>1</v>
      </c>
      <c r="E212" s="16">
        <f>IF(Raw_data!E212="",NA(),Raw_data!E212)</f>
        <v>23.68</v>
      </c>
      <c r="F212" s="14" t="str">
        <f>IF(Raw_data!F212="",NA(),Raw_data!F212)</f>
        <v>Australia</v>
      </c>
      <c r="G212">
        <f t="shared" si="3"/>
        <v>1</v>
      </c>
    </row>
    <row r="213" spans="1:7" x14ac:dyDescent="0.25">
      <c r="A213" s="1">
        <f>IF(Raw_data!A213="",NA(),Raw_data!A213)</f>
        <v>44685</v>
      </c>
      <c r="B213" s="14" t="str">
        <f>IF(Raw_data!B213="",NA(),Raw_data!B213)</f>
        <v>Allergy Pills</v>
      </c>
      <c r="C213" s="14" t="str">
        <f>IF(Raw_data!C213="",NA(),Raw_data!C213)</f>
        <v>Divya Mehra</v>
      </c>
      <c r="D213" s="15">
        <f>IF(Raw_data!D213="",NA(),Raw_data!D213)</f>
        <v>2</v>
      </c>
      <c r="E213" s="16">
        <f>IF(Raw_data!E213="",NA(),Raw_data!E213)</f>
        <v>47.79</v>
      </c>
      <c r="F213" s="14" t="str">
        <f>IF(Raw_data!F213="",NA(),Raw_data!F213)</f>
        <v>Australia</v>
      </c>
      <c r="G213">
        <f t="shared" si="3"/>
        <v>1</v>
      </c>
    </row>
    <row r="214" spans="1:7" x14ac:dyDescent="0.25">
      <c r="A214" s="1">
        <f>IF(Raw_data!A214="",NA(),Raw_data!A214)</f>
        <v>44790</v>
      </c>
      <c r="B214" s="14" t="str">
        <f>IF(Raw_data!B214="",NA(),Raw_data!B214)</f>
        <v>Antiseptic Cream</v>
      </c>
      <c r="C214" s="14" t="str">
        <f>IF(Raw_data!C214="",NA(),Raw_data!C214)</f>
        <v>Priya Singh</v>
      </c>
      <c r="D214" s="15">
        <f>IF(Raw_data!D214="",NA(),Raw_data!D214)</f>
        <v>10</v>
      </c>
      <c r="E214" s="16">
        <f>IF(Raw_data!E214="",NA(),Raw_data!E214)</f>
        <v>154.6</v>
      </c>
      <c r="F214" s="14" t="str">
        <f>IF(Raw_data!F214="",NA(),Raw_data!F214)</f>
        <v>India</v>
      </c>
      <c r="G214">
        <f t="shared" si="3"/>
        <v>1</v>
      </c>
    </row>
    <row r="215" spans="1:7" x14ac:dyDescent="0.25">
      <c r="A215" s="1">
        <f>IF(Raw_data!A215="",NA(),Raw_data!A215)</f>
        <v>44698</v>
      </c>
      <c r="B215" s="14" t="str">
        <f>IF(Raw_data!B215="",NA(),Raw_data!B215)</f>
        <v>Allergy Pills</v>
      </c>
      <c r="C215" s="14" t="str">
        <f>IF(Raw_data!C215="",NA(),Raw_data!C215)</f>
        <v>Nikhil Batra</v>
      </c>
      <c r="D215" s="15">
        <f>IF(Raw_data!D215="",NA(),Raw_data!D215)</f>
        <v>8</v>
      </c>
      <c r="E215" s="16">
        <f>IF(Raw_data!E215="",NA(),Raw_data!E215)</f>
        <v>158.49</v>
      </c>
      <c r="F215" s="14" t="str">
        <f>IF(Raw_data!F215="",NA(),Raw_data!F215)</f>
        <v>India</v>
      </c>
      <c r="G215">
        <f t="shared" si="3"/>
        <v>1</v>
      </c>
    </row>
    <row r="216" spans="1:7" x14ac:dyDescent="0.25">
      <c r="A216" s="1">
        <f>IF(Raw_data!A216="",NA(),Raw_data!A216)</f>
        <v>44775</v>
      </c>
      <c r="B216" s="14" t="str">
        <f>IF(Raw_data!B216="",NA(),Raw_data!B216)</f>
        <v>Nasal Spray</v>
      </c>
      <c r="C216" s="14" t="str">
        <f>IF(Raw_data!C216="",NA(),Raw_data!C216)</f>
        <v>Sneha Iyer</v>
      </c>
      <c r="D216" s="15">
        <f>IF(Raw_data!D216="",NA(),Raw_data!D216)</f>
        <v>7</v>
      </c>
      <c r="E216" s="16">
        <f>IF(Raw_data!E216="",NA(),Raw_data!E216)</f>
        <v>68.989999999999995</v>
      </c>
      <c r="F216" s="14" t="str">
        <f>IF(Raw_data!F216="",NA(),Raw_data!F216)</f>
        <v>India</v>
      </c>
      <c r="G216">
        <f t="shared" si="3"/>
        <v>1</v>
      </c>
    </row>
    <row r="217" spans="1:7" x14ac:dyDescent="0.25">
      <c r="A217" s="1">
        <f>IF(Raw_data!A217="",NA(),Raw_data!A217)</f>
        <v>44702</v>
      </c>
      <c r="B217" s="14" t="str">
        <f>IF(Raw_data!B217="",NA(),Raw_data!B217)</f>
        <v>Nasal Spray</v>
      </c>
      <c r="C217" s="14" t="str">
        <f>IF(Raw_data!C217="",NA(),Raw_data!C217)</f>
        <v>Nikhil Batra</v>
      </c>
      <c r="D217" s="15">
        <f>IF(Raw_data!D217="",NA(),Raw_data!D217)</f>
        <v>9</v>
      </c>
      <c r="E217" s="16">
        <f>IF(Raw_data!E217="",NA(),Raw_data!E217)</f>
        <v>186.56</v>
      </c>
      <c r="F217" s="14" t="str">
        <f>IF(Raw_data!F217="",NA(),Raw_data!F217)</f>
        <v>India</v>
      </c>
      <c r="G217">
        <f t="shared" si="3"/>
        <v>1</v>
      </c>
    </row>
    <row r="218" spans="1:7" x14ac:dyDescent="0.25">
      <c r="A218" s="1">
        <f>IF(Raw_data!A218="",NA(),Raw_data!A218)</f>
        <v>44733</v>
      </c>
      <c r="B218" s="14" t="str">
        <f>IF(Raw_data!B218="",NA(),Raw_data!B218)</f>
        <v>Cough Syrup</v>
      </c>
      <c r="C218" s="14" t="str">
        <f>IF(Raw_data!C218="",NA(),Raw_data!C218)</f>
        <v>Aman Verma</v>
      </c>
      <c r="D218" s="15">
        <f>IF(Raw_data!D218="",NA(),Raw_data!D218)</f>
        <v>2</v>
      </c>
      <c r="E218" s="16">
        <f>IF(Raw_data!E218="",NA(),Raw_data!E218)</f>
        <v>36.61</v>
      </c>
      <c r="F218" s="14" t="str">
        <f>IF(Raw_data!F218="",NA(),Raw_data!F218)</f>
        <v>Canada</v>
      </c>
      <c r="G218">
        <f t="shared" si="3"/>
        <v>1</v>
      </c>
    </row>
    <row r="219" spans="1:7" x14ac:dyDescent="0.25">
      <c r="A219" s="1">
        <f>IF(Raw_data!A219="",NA(),Raw_data!A219)</f>
        <v>44569</v>
      </c>
      <c r="B219" s="14" t="str">
        <f>IF(Raw_data!B219="",NA(),Raw_data!B219)</f>
        <v>Cough Syrup</v>
      </c>
      <c r="C219" s="14" t="str">
        <f>IF(Raw_data!C219="",NA(),Raw_data!C219)</f>
        <v>Priya Singh</v>
      </c>
      <c r="D219" s="15">
        <f>IF(Raw_data!D219="",NA(),Raw_data!D219)</f>
        <v>16</v>
      </c>
      <c r="E219" s="16">
        <f>IF(Raw_data!E219="",NA(),Raw_data!E219)</f>
        <v>392.8</v>
      </c>
      <c r="F219" s="14" t="str">
        <f>IF(Raw_data!F219="",NA(),Raw_data!F219)</f>
        <v>Australia</v>
      </c>
      <c r="G219">
        <f t="shared" si="3"/>
        <v>1</v>
      </c>
    </row>
    <row r="220" spans="1:7" x14ac:dyDescent="0.25">
      <c r="A220" s="1">
        <f>IF(Raw_data!A220="",NA(),Raw_data!A220)</f>
        <v>44723</v>
      </c>
      <c r="B220" s="14" t="str">
        <f>IF(Raw_data!B220="",NA(),Raw_data!B220)</f>
        <v>Allergy Pills</v>
      </c>
      <c r="C220" s="14" t="str">
        <f>IF(Raw_data!C220="",NA(),Raw_data!C220)</f>
        <v>Ritika Shah</v>
      </c>
      <c r="D220" s="15">
        <f>IF(Raw_data!D220="",NA(),Raw_data!D220)</f>
        <v>5</v>
      </c>
      <c r="E220" s="16">
        <f>IF(Raw_data!E220="",NA(),Raw_data!E220)</f>
        <v>82.32</v>
      </c>
      <c r="F220" s="14" t="str">
        <f>IF(Raw_data!F220="",NA(),Raw_data!F220)</f>
        <v>India</v>
      </c>
      <c r="G220">
        <f t="shared" si="3"/>
        <v>1</v>
      </c>
    </row>
    <row r="221" spans="1:7" x14ac:dyDescent="0.25">
      <c r="A221" s="1">
        <f>IF(Raw_data!A221="",NA(),Raw_data!A221)</f>
        <v>44659</v>
      </c>
      <c r="B221" s="14" t="str">
        <f>IF(Raw_data!B221="",NA(),Raw_data!B221)</f>
        <v>Nasal Spray</v>
      </c>
      <c r="C221" s="14" t="str">
        <f>IF(Raw_data!C221="",NA(),Raw_data!C221)</f>
        <v>Nikhil Batra</v>
      </c>
      <c r="D221" s="15">
        <f>IF(Raw_data!D221="",NA(),Raw_data!D221)</f>
        <v>6</v>
      </c>
      <c r="E221" s="16">
        <f>IF(Raw_data!E221="",NA(),Raw_data!E221)</f>
        <v>128.69</v>
      </c>
      <c r="F221" s="14" t="str">
        <f>IF(Raw_data!F221="",NA(),Raw_data!F221)</f>
        <v>UK</v>
      </c>
      <c r="G221">
        <f t="shared" si="3"/>
        <v>1</v>
      </c>
    </row>
    <row r="222" spans="1:7" x14ac:dyDescent="0.25">
      <c r="A222" s="1">
        <f>IF(Raw_data!A222="",NA(),Raw_data!A222)</f>
        <v>44777</v>
      </c>
      <c r="B222" s="14" t="str">
        <f>IF(Raw_data!B222="",NA(),Raw_data!B222)</f>
        <v>Pain Relief Tablets</v>
      </c>
      <c r="C222" s="14" t="str">
        <f>IF(Raw_data!C222="",NA(),Raw_data!C222)</f>
        <v>Nikhil Batra</v>
      </c>
      <c r="D222" s="15">
        <f>IF(Raw_data!D222="",NA(),Raw_data!D222)</f>
        <v>13</v>
      </c>
      <c r="E222" s="16">
        <f>IF(Raw_data!E222="",NA(),Raw_data!E222)</f>
        <v>323.95999999999998</v>
      </c>
      <c r="F222" s="14" t="str">
        <f>IF(Raw_data!F222="",NA(),Raw_data!F222)</f>
        <v>USA</v>
      </c>
      <c r="G222">
        <f t="shared" si="3"/>
        <v>1</v>
      </c>
    </row>
    <row r="223" spans="1:7" x14ac:dyDescent="0.25">
      <c r="A223" s="1">
        <f>IF(Raw_data!A223="",NA(),Raw_data!A223)</f>
        <v>44633</v>
      </c>
      <c r="B223" s="14" t="str">
        <f>IF(Raw_data!B223="",NA(),Raw_data!B223)</f>
        <v>Allergy Pills</v>
      </c>
      <c r="C223" s="14" t="str">
        <f>IF(Raw_data!C223="",NA(),Raw_data!C223)</f>
        <v>Rajesh Patel</v>
      </c>
      <c r="D223" s="15">
        <f>IF(Raw_data!D223="",NA(),Raw_data!D223)</f>
        <v>9</v>
      </c>
      <c r="E223" s="16">
        <f>IF(Raw_data!E223="",NA(),Raw_data!E223)</f>
        <v>180.57</v>
      </c>
      <c r="F223" s="14" t="str">
        <f>IF(Raw_data!F223="",NA(),Raw_data!F223)</f>
        <v>Australia</v>
      </c>
      <c r="G223">
        <f t="shared" si="3"/>
        <v>1</v>
      </c>
    </row>
    <row r="224" spans="1:7" x14ac:dyDescent="0.25">
      <c r="A224" s="1">
        <f>IF(Raw_data!A224="",NA(),Raw_data!A224)</f>
        <v>44798</v>
      </c>
      <c r="B224" s="14" t="str">
        <f>IF(Raw_data!B224="",NA(),Raw_data!B224)</f>
        <v>Antiseptic Cream</v>
      </c>
      <c r="C224" s="14" t="str">
        <f>IF(Raw_data!C224="",NA(),Raw_data!C224)</f>
        <v>Rajesh Patel</v>
      </c>
      <c r="D224" s="15">
        <f>IF(Raw_data!D224="",NA(),Raw_data!D224)</f>
        <v>18</v>
      </c>
      <c r="E224" s="16">
        <f>IF(Raw_data!E224="",NA(),Raw_data!E224)</f>
        <v>229.15</v>
      </c>
      <c r="F224" s="14" t="str">
        <f>IF(Raw_data!F224="",NA(),Raw_data!F224)</f>
        <v>UK</v>
      </c>
      <c r="G224">
        <f t="shared" si="3"/>
        <v>1</v>
      </c>
    </row>
    <row r="225" spans="1:7" x14ac:dyDescent="0.25">
      <c r="A225" s="1">
        <f>IF(Raw_data!A225="",NA(),Raw_data!A225)</f>
        <v>44792</v>
      </c>
      <c r="B225" s="14" t="str">
        <f>IF(Raw_data!B225="",NA(),Raw_data!B225)</f>
        <v>Pain Relief Tablets</v>
      </c>
      <c r="C225" s="14" t="str">
        <f>IF(Raw_data!C225="",NA(),Raw_data!C225)</f>
        <v>Rajesh Patel</v>
      </c>
      <c r="D225" s="15">
        <f>IF(Raw_data!D225="",NA(),Raw_data!D225)</f>
        <v>7</v>
      </c>
      <c r="E225" s="16">
        <f>IF(Raw_data!E225="",NA(),Raw_data!E225)</f>
        <v>163.5</v>
      </c>
      <c r="F225" s="14" t="str">
        <f>IF(Raw_data!F225="",NA(),Raw_data!F225)</f>
        <v>USA</v>
      </c>
      <c r="G225">
        <f t="shared" si="3"/>
        <v>1</v>
      </c>
    </row>
    <row r="226" spans="1:7" x14ac:dyDescent="0.25">
      <c r="A226" s="1">
        <f>IF(Raw_data!A226="",NA(),Raw_data!A226)</f>
        <v>44630</v>
      </c>
      <c r="B226" s="14" t="str">
        <f>IF(Raw_data!B226="",NA(),Raw_data!B226)</f>
        <v>Antiseptic Cream</v>
      </c>
      <c r="C226" s="14" t="str">
        <f>IF(Raw_data!C226="",NA(),Raw_data!C226)</f>
        <v>Sneha Iyer</v>
      </c>
      <c r="D226" s="15">
        <f>IF(Raw_data!D226="",NA(),Raw_data!D226)</f>
        <v>6</v>
      </c>
      <c r="E226" s="16">
        <f>IF(Raw_data!E226="",NA(),Raw_data!E226)</f>
        <v>124.34</v>
      </c>
      <c r="F226" s="14" t="str">
        <f>IF(Raw_data!F226="",NA(),Raw_data!F226)</f>
        <v>India</v>
      </c>
      <c r="G226">
        <f t="shared" si="3"/>
        <v>1</v>
      </c>
    </row>
    <row r="227" spans="1:7" x14ac:dyDescent="0.25">
      <c r="A227" s="1">
        <f>IF(Raw_data!A227="",NA(),Raw_data!A227)</f>
        <v>44613</v>
      </c>
      <c r="B227" s="14" t="str">
        <f>IF(Raw_data!B227="",NA(),Raw_data!B227)</f>
        <v>Allergy Pills</v>
      </c>
      <c r="C227" s="14" t="str">
        <f>IF(Raw_data!C227="",NA(),Raw_data!C227)</f>
        <v>Rajesh Patel</v>
      </c>
      <c r="D227" s="15">
        <f>IF(Raw_data!D227="",NA(),Raw_data!D227)</f>
        <v>5</v>
      </c>
      <c r="E227" s="16">
        <f>IF(Raw_data!E227="",NA(),Raw_data!E227)</f>
        <v>64.33</v>
      </c>
      <c r="F227" s="14" t="str">
        <f>IF(Raw_data!F227="",NA(),Raw_data!F227)</f>
        <v>UK</v>
      </c>
      <c r="G227">
        <f t="shared" si="3"/>
        <v>1</v>
      </c>
    </row>
    <row r="228" spans="1:7" x14ac:dyDescent="0.25">
      <c r="A228" s="1">
        <f>IF(Raw_data!A228="",NA(),Raw_data!A228)</f>
        <v>44685</v>
      </c>
      <c r="B228" s="14" t="str">
        <f>IF(Raw_data!B228="",NA(),Raw_data!B228)</f>
        <v>Antiseptic Cream</v>
      </c>
      <c r="C228" s="14" t="str">
        <f>IF(Raw_data!C228="",NA(),Raw_data!C228)</f>
        <v>Divya Mehra</v>
      </c>
      <c r="D228" s="15">
        <f>IF(Raw_data!D228="",NA(),Raw_data!D228)</f>
        <v>8</v>
      </c>
      <c r="E228" s="16">
        <f>IF(Raw_data!E228="",NA(),Raw_data!E228)</f>
        <v>94.84</v>
      </c>
      <c r="F228" s="14" t="str">
        <f>IF(Raw_data!F228="",NA(),Raw_data!F228)</f>
        <v>India</v>
      </c>
      <c r="G228">
        <f t="shared" si="3"/>
        <v>1</v>
      </c>
    </row>
    <row r="229" spans="1:7" x14ac:dyDescent="0.25">
      <c r="A229" s="1">
        <f>IF(Raw_data!A229="",NA(),Raw_data!A229)</f>
        <v>44580</v>
      </c>
      <c r="B229" s="14" t="str">
        <f>IF(Raw_data!B229="",NA(),Raw_data!B229)</f>
        <v>Digestive Enzyme</v>
      </c>
      <c r="C229" s="14" t="str">
        <f>IF(Raw_data!C229="",NA(),Raw_data!C229)</f>
        <v>Priya Singh</v>
      </c>
      <c r="D229" s="15">
        <f>IF(Raw_data!D229="",NA(),Raw_data!D229)</f>
        <v>18</v>
      </c>
      <c r="E229" s="16">
        <f>IF(Raw_data!E229="",NA(),Raw_data!E229)</f>
        <v>432</v>
      </c>
      <c r="F229" s="14" t="str">
        <f>IF(Raw_data!F229="",NA(),Raw_data!F229)</f>
        <v>Canada</v>
      </c>
      <c r="G229">
        <f t="shared" si="3"/>
        <v>1</v>
      </c>
    </row>
    <row r="230" spans="1:7" x14ac:dyDescent="0.25">
      <c r="A230" s="1">
        <f>IF(Raw_data!A230="",NA(),Raw_data!A230)</f>
        <v>44715</v>
      </c>
      <c r="B230" s="14" t="str">
        <f>IF(Raw_data!B230="",NA(),Raw_data!B230)</f>
        <v>Eye Drops</v>
      </c>
      <c r="C230" s="14" t="str">
        <f>IF(Raw_data!C230="",NA(),Raw_data!C230)</f>
        <v>Aman Verma</v>
      </c>
      <c r="D230" s="15">
        <f>IF(Raw_data!D230="",NA(),Raw_data!D230)</f>
        <v>19</v>
      </c>
      <c r="E230" s="16">
        <f>IF(Raw_data!E230="",NA(),Raw_data!E230)</f>
        <v>368.72</v>
      </c>
      <c r="F230" s="14" t="str">
        <f>IF(Raw_data!F230="",NA(),Raw_data!F230)</f>
        <v>USA</v>
      </c>
      <c r="G230">
        <f t="shared" si="3"/>
        <v>1</v>
      </c>
    </row>
    <row r="231" spans="1:7" x14ac:dyDescent="0.25">
      <c r="A231" s="1">
        <f>IF(Raw_data!A231="",NA(),Raw_data!A231)</f>
        <v>44751</v>
      </c>
      <c r="B231" s="14" t="str">
        <f>IF(Raw_data!B231="",NA(),Raw_data!B231)</f>
        <v>Allergy Pills</v>
      </c>
      <c r="C231" s="14" t="str">
        <f>IF(Raw_data!C231="",NA(),Raw_data!C231)</f>
        <v>Nikhil Batra</v>
      </c>
      <c r="D231" s="15">
        <f>IF(Raw_data!D231="",NA(),Raw_data!D231)</f>
        <v>20</v>
      </c>
      <c r="E231" s="16">
        <f>IF(Raw_data!E231="",NA(),Raw_data!E231)</f>
        <v>486.94</v>
      </c>
      <c r="F231" s="14" t="str">
        <f>IF(Raw_data!F231="",NA(),Raw_data!F231)</f>
        <v>India</v>
      </c>
      <c r="G231">
        <f t="shared" si="3"/>
        <v>1</v>
      </c>
    </row>
    <row r="232" spans="1:7" x14ac:dyDescent="0.25">
      <c r="A232" s="1">
        <f>IF(Raw_data!A232="",NA(),Raw_data!A232)</f>
        <v>44783</v>
      </c>
      <c r="B232" s="14" t="str">
        <f>IF(Raw_data!B232="",NA(),Raw_data!B232)</f>
        <v>Antiseptic Cream</v>
      </c>
      <c r="C232" s="14" t="str">
        <f>IF(Raw_data!C232="",NA(),Raw_data!C232)</f>
        <v>Divya Mehra</v>
      </c>
      <c r="D232" s="15">
        <f>IF(Raw_data!D232="",NA(),Raw_data!D232)</f>
        <v>13</v>
      </c>
      <c r="E232" s="16">
        <f>IF(Raw_data!E232="",NA(),Raw_data!E232)</f>
        <v>320.79000000000002</v>
      </c>
      <c r="F232" s="14" t="str">
        <f>IF(Raw_data!F232="",NA(),Raw_data!F232)</f>
        <v>India</v>
      </c>
      <c r="G232">
        <f t="shared" si="3"/>
        <v>1</v>
      </c>
    </row>
    <row r="233" spans="1:7" x14ac:dyDescent="0.25">
      <c r="A233" s="1">
        <f>IF(Raw_data!A233="",NA(),Raw_data!A233)</f>
        <v>44755</v>
      </c>
      <c r="B233" s="14" t="str">
        <f>IF(Raw_data!B233="",NA(),Raw_data!B233)</f>
        <v>Digestive Enzyme</v>
      </c>
      <c r="C233" s="14" t="str">
        <f>IF(Raw_data!C233="",NA(),Raw_data!C233)</f>
        <v>Rajesh Patel</v>
      </c>
      <c r="D233" s="15">
        <f>IF(Raw_data!D233="",NA(),Raw_data!D233)</f>
        <v>18</v>
      </c>
      <c r="E233" s="16">
        <f>IF(Raw_data!E233="",NA(),Raw_data!E233)</f>
        <v>431.39</v>
      </c>
      <c r="F233" s="14" t="str">
        <f>IF(Raw_data!F233="",NA(),Raw_data!F233)</f>
        <v>India</v>
      </c>
      <c r="G233">
        <f t="shared" si="3"/>
        <v>1</v>
      </c>
    </row>
    <row r="234" spans="1:7" x14ac:dyDescent="0.25">
      <c r="A234" s="1">
        <f>IF(Raw_data!A234="",NA(),Raw_data!A234)</f>
        <v>44617</v>
      </c>
      <c r="B234" s="14" t="str">
        <f>IF(Raw_data!B234="",NA(),Raw_data!B234)</f>
        <v>Nasal Spray</v>
      </c>
      <c r="C234" s="14" t="str">
        <f>IF(Raw_data!C234="",NA(),Raw_data!C234)</f>
        <v>Sneha Iyer</v>
      </c>
      <c r="D234" s="15">
        <f>IF(Raw_data!D234="",NA(),Raw_data!D234)</f>
        <v>4</v>
      </c>
      <c r="E234" s="16">
        <f>IF(Raw_data!E234="",NA(),Raw_data!E234)</f>
        <v>67.5</v>
      </c>
      <c r="F234" s="14" t="str">
        <f>IF(Raw_data!F234="",NA(),Raw_data!F234)</f>
        <v>UK</v>
      </c>
      <c r="G234">
        <f t="shared" si="3"/>
        <v>1</v>
      </c>
    </row>
    <row r="235" spans="1:7" x14ac:dyDescent="0.25">
      <c r="A235" s="1">
        <f>IF(Raw_data!A235="",NA(),Raw_data!A235)</f>
        <v>44769</v>
      </c>
      <c r="B235" s="14" t="str">
        <f>IF(Raw_data!B235="",NA(),Raw_data!B235)</f>
        <v>Eye Drops</v>
      </c>
      <c r="C235" s="14" t="str">
        <f>IF(Raw_data!C235="",NA(),Raw_data!C235)</f>
        <v>Priya Singh</v>
      </c>
      <c r="D235" s="15">
        <f>IF(Raw_data!D235="",NA(),Raw_data!D235)</f>
        <v>15</v>
      </c>
      <c r="E235" s="16">
        <f>IF(Raw_data!E235="",NA(),Raw_data!E235)</f>
        <v>220.62</v>
      </c>
      <c r="F235" s="14" t="str">
        <f>IF(Raw_data!F235="",NA(),Raw_data!F235)</f>
        <v>India</v>
      </c>
      <c r="G235">
        <f t="shared" si="3"/>
        <v>1</v>
      </c>
    </row>
    <row r="236" spans="1:7" x14ac:dyDescent="0.25">
      <c r="A236" s="1">
        <f>IF(Raw_data!A236="",NA(),Raw_data!A236)</f>
        <v>44786</v>
      </c>
      <c r="B236" s="14" t="str">
        <f>IF(Raw_data!B236="",NA(),Raw_data!B236)</f>
        <v>Eye Drops</v>
      </c>
      <c r="C236" s="14" t="str">
        <f>IF(Raw_data!C236="",NA(),Raw_data!C236)</f>
        <v>Rajesh Patel</v>
      </c>
      <c r="D236" s="15">
        <f>IF(Raw_data!D236="",NA(),Raw_data!D236)</f>
        <v>5</v>
      </c>
      <c r="E236" s="16">
        <f>IF(Raw_data!E236="",NA(),Raw_data!E236)</f>
        <v>97.52</v>
      </c>
      <c r="F236" s="14" t="str">
        <f>IF(Raw_data!F236="",NA(),Raw_data!F236)</f>
        <v>India</v>
      </c>
      <c r="G236">
        <f t="shared" si="3"/>
        <v>1</v>
      </c>
    </row>
    <row r="237" spans="1:7" x14ac:dyDescent="0.25">
      <c r="A237" s="1">
        <f>IF(Raw_data!A237="",NA(),Raw_data!A237)</f>
        <v>44800</v>
      </c>
      <c r="B237" s="14" t="str">
        <f>IF(Raw_data!B237="",NA(),Raw_data!B237)</f>
        <v>Antiseptic Cream</v>
      </c>
      <c r="C237" s="14" t="str">
        <f>IF(Raw_data!C237="",NA(),Raw_data!C237)</f>
        <v>Nikhil Batra</v>
      </c>
      <c r="D237" s="15">
        <f>IF(Raw_data!D237="",NA(),Raw_data!D237)</f>
        <v>6</v>
      </c>
      <c r="E237" s="16">
        <f>IF(Raw_data!E237="",NA(),Raw_data!E237)</f>
        <v>112.49</v>
      </c>
      <c r="F237" s="14" t="str">
        <f>IF(Raw_data!F237="",NA(),Raw_data!F237)</f>
        <v>USA</v>
      </c>
      <c r="G237">
        <f t="shared" si="3"/>
        <v>1</v>
      </c>
    </row>
    <row r="238" spans="1:7" x14ac:dyDescent="0.25">
      <c r="A238" s="1">
        <f>IF(Raw_data!A238="",NA(),Raw_data!A238)</f>
        <v>44638</v>
      </c>
      <c r="B238" s="14" t="str">
        <f>IF(Raw_data!B238="",NA(),Raw_data!B238)</f>
        <v>Antiseptic Cream</v>
      </c>
      <c r="C238" s="14" t="str">
        <f>IF(Raw_data!C238="",NA(),Raw_data!C238)</f>
        <v>Aman Verma</v>
      </c>
      <c r="D238" s="15">
        <f>IF(Raw_data!D238="",NA(),Raw_data!D238)</f>
        <v>2</v>
      </c>
      <c r="E238" s="16">
        <f>IF(Raw_data!E238="",NA(),Raw_data!E238)</f>
        <v>45.57</v>
      </c>
      <c r="F238" s="14" t="str">
        <f>IF(Raw_data!F238="",NA(),Raw_data!F238)</f>
        <v>Canada</v>
      </c>
      <c r="G238">
        <f t="shared" si="3"/>
        <v>1</v>
      </c>
    </row>
    <row r="239" spans="1:7" x14ac:dyDescent="0.25">
      <c r="A239" s="1">
        <f>IF(Raw_data!A239="",NA(),Raw_data!A239)</f>
        <v>44759</v>
      </c>
      <c r="B239" s="14" t="str">
        <f>IF(Raw_data!B239="",NA(),Raw_data!B239)</f>
        <v>Nasal Spray</v>
      </c>
      <c r="C239" s="14" t="str">
        <f>IF(Raw_data!C239="",NA(),Raw_data!C239)</f>
        <v>Nikhil Batra</v>
      </c>
      <c r="D239" s="15">
        <f>IF(Raw_data!D239="",NA(),Raw_data!D239)</f>
        <v>9</v>
      </c>
      <c r="E239" s="16">
        <f>IF(Raw_data!E239="",NA(),Raw_data!E239)</f>
        <v>100.77</v>
      </c>
      <c r="F239" s="14" t="str">
        <f>IF(Raw_data!F239="",NA(),Raw_data!F239)</f>
        <v>UK</v>
      </c>
      <c r="G239">
        <f t="shared" si="3"/>
        <v>1</v>
      </c>
    </row>
    <row r="240" spans="1:7" x14ac:dyDescent="0.25">
      <c r="A240" s="1">
        <f>IF(Raw_data!A240="",NA(),Raw_data!A240)</f>
        <v>44680</v>
      </c>
      <c r="B240" s="14" t="str">
        <f>IF(Raw_data!B240="",NA(),Raw_data!B240)</f>
        <v>Digestive Enzyme</v>
      </c>
      <c r="C240" s="14" t="str">
        <f>IF(Raw_data!C240="",NA(),Raw_data!C240)</f>
        <v>Nikhil Batra</v>
      </c>
      <c r="D240" s="15">
        <f>IF(Raw_data!D240="",NA(),Raw_data!D240)</f>
        <v>12</v>
      </c>
      <c r="E240" s="16">
        <f>IF(Raw_data!E240="",NA(),Raw_data!E240)</f>
        <v>295.77999999999997</v>
      </c>
      <c r="F240" s="14" t="str">
        <f>IF(Raw_data!F240="",NA(),Raw_data!F240)</f>
        <v>Australia</v>
      </c>
      <c r="G240">
        <f t="shared" si="3"/>
        <v>1</v>
      </c>
    </row>
    <row r="241" spans="1:7" x14ac:dyDescent="0.25">
      <c r="A241" s="1">
        <f>IF(Raw_data!A241="",NA(),Raw_data!A241)</f>
        <v>44719</v>
      </c>
      <c r="B241" s="14" t="str">
        <f>IF(Raw_data!B241="",NA(),Raw_data!B241)</f>
        <v>Digestive Enzyme</v>
      </c>
      <c r="C241" s="14" t="str">
        <f>IF(Raw_data!C241="",NA(),Raw_data!C241)</f>
        <v>Rajesh Patel</v>
      </c>
      <c r="D241" s="15">
        <f>IF(Raw_data!D241="",NA(),Raw_data!D241)</f>
        <v>17</v>
      </c>
      <c r="E241" s="16">
        <f>IF(Raw_data!E241="",NA(),Raw_data!E241)</f>
        <v>381.45</v>
      </c>
      <c r="F241" s="14" t="str">
        <f>IF(Raw_data!F241="",NA(),Raw_data!F241)</f>
        <v>UK</v>
      </c>
      <c r="G241">
        <f t="shared" si="3"/>
        <v>1</v>
      </c>
    </row>
    <row r="242" spans="1:7" x14ac:dyDescent="0.25">
      <c r="A242" s="1">
        <f>IF(Raw_data!A242="",NA(),Raw_data!A242)</f>
        <v>44592</v>
      </c>
      <c r="B242" s="14" t="str">
        <f>IF(Raw_data!B242="",NA(),Raw_data!B242)</f>
        <v>Allergy Pills</v>
      </c>
      <c r="C242" s="14" t="str">
        <f>IF(Raw_data!C242="",NA(),Raw_data!C242)</f>
        <v>Divya Mehra</v>
      </c>
      <c r="D242" s="15">
        <f>IF(Raw_data!D242="",NA(),Raw_data!D242)</f>
        <v>11</v>
      </c>
      <c r="E242" s="16">
        <f>IF(Raw_data!E242="",NA(),Raw_data!E242)</f>
        <v>155.16</v>
      </c>
      <c r="F242" s="14" t="str">
        <f>IF(Raw_data!F242="",NA(),Raw_data!F242)</f>
        <v>Canada</v>
      </c>
      <c r="G242">
        <f t="shared" si="3"/>
        <v>1</v>
      </c>
    </row>
    <row r="243" spans="1:7" x14ac:dyDescent="0.25">
      <c r="A243" s="1">
        <f>IF(Raw_data!A243="",NA(),Raw_data!A243)</f>
        <v>44712</v>
      </c>
      <c r="B243" s="14" t="str">
        <f>IF(Raw_data!B243="",NA(),Raw_data!B243)</f>
        <v>Digestive Enzyme</v>
      </c>
      <c r="C243" s="14" t="str">
        <f>IF(Raw_data!C243="",NA(),Raw_data!C243)</f>
        <v>Ritika Shah</v>
      </c>
      <c r="D243" s="15">
        <f>IF(Raw_data!D243="",NA(),Raw_data!D243)</f>
        <v>18</v>
      </c>
      <c r="E243" s="16">
        <f>IF(Raw_data!E243="",NA(),Raw_data!E243)</f>
        <v>309.25</v>
      </c>
      <c r="F243" s="14" t="str">
        <f>IF(Raw_data!F243="",NA(),Raw_data!F243)</f>
        <v>Australia</v>
      </c>
      <c r="G243">
        <f t="shared" si="3"/>
        <v>1</v>
      </c>
    </row>
    <row r="244" spans="1:7" x14ac:dyDescent="0.25">
      <c r="A244" s="1">
        <f>IF(Raw_data!A244="",NA(),Raw_data!A244)</f>
        <v>44717</v>
      </c>
      <c r="B244" s="14" t="str">
        <f>IF(Raw_data!B244="",NA(),Raw_data!B244)</f>
        <v>Pain Relief Tablets</v>
      </c>
      <c r="C244" s="14" t="str">
        <f>IF(Raw_data!C244="",NA(),Raw_data!C244)</f>
        <v>Rajesh Patel</v>
      </c>
      <c r="D244" s="15">
        <f>IF(Raw_data!D244="",NA(),Raw_data!D244)</f>
        <v>3</v>
      </c>
      <c r="E244" s="16">
        <f>IF(Raw_data!E244="",NA(),Raw_data!E244)</f>
        <v>48.59</v>
      </c>
      <c r="F244" s="14" t="str">
        <f>IF(Raw_data!F244="",NA(),Raw_data!F244)</f>
        <v>UK</v>
      </c>
      <c r="G244">
        <f t="shared" si="3"/>
        <v>1</v>
      </c>
    </row>
    <row r="245" spans="1:7" x14ac:dyDescent="0.25">
      <c r="A245" s="1">
        <f>IF(Raw_data!A245="",NA(),Raw_data!A245)</f>
        <v>44587</v>
      </c>
      <c r="B245" s="14" t="str">
        <f>IF(Raw_data!B245="",NA(),Raw_data!B245)</f>
        <v>Nasal Spray</v>
      </c>
      <c r="C245" s="14" t="str">
        <f>IF(Raw_data!C245="",NA(),Raw_data!C245)</f>
        <v>Priya Singh</v>
      </c>
      <c r="D245" s="15">
        <f>IF(Raw_data!D245="",NA(),Raw_data!D245)</f>
        <v>14</v>
      </c>
      <c r="E245" s="16">
        <f>IF(Raw_data!E245="",NA(),Raw_data!E245)</f>
        <v>141.91999999999999</v>
      </c>
      <c r="F245" s="14" t="str">
        <f>IF(Raw_data!F245="",NA(),Raw_data!F245)</f>
        <v>Canada</v>
      </c>
      <c r="G245">
        <f t="shared" si="3"/>
        <v>1</v>
      </c>
    </row>
    <row r="246" spans="1:7" x14ac:dyDescent="0.25">
      <c r="A246" s="1">
        <f>IF(Raw_data!A246="",NA(),Raw_data!A246)</f>
        <v>44798</v>
      </c>
      <c r="B246" s="14" t="str">
        <f>IF(Raw_data!B246="",NA(),Raw_data!B246)</f>
        <v>Cough Syrup</v>
      </c>
      <c r="C246" s="14" t="str">
        <f>IF(Raw_data!C246="",NA(),Raw_data!C246)</f>
        <v>Aman Verma</v>
      </c>
      <c r="D246" s="15">
        <f>IF(Raw_data!D246="",NA(),Raw_data!D246)</f>
        <v>4</v>
      </c>
      <c r="E246" s="16">
        <f>IF(Raw_data!E246="",NA(),Raw_data!E246)</f>
        <v>67.94</v>
      </c>
      <c r="F246" s="14" t="str">
        <f>IF(Raw_data!F246="",NA(),Raw_data!F246)</f>
        <v>USA</v>
      </c>
      <c r="G246">
        <f t="shared" si="3"/>
        <v>1</v>
      </c>
    </row>
    <row r="247" spans="1:7" x14ac:dyDescent="0.25">
      <c r="A247" s="1">
        <f>IF(Raw_data!A247="",NA(),Raw_data!A247)</f>
        <v>44575</v>
      </c>
      <c r="B247" s="14" t="str">
        <f>IF(Raw_data!B247="",NA(),Raw_data!B247)</f>
        <v>Nasal Spray</v>
      </c>
      <c r="C247" s="14" t="str">
        <f>IF(Raw_data!C247="",NA(),Raw_data!C247)</f>
        <v>Nikhil Batra</v>
      </c>
      <c r="D247" s="15">
        <f>IF(Raw_data!D247="",NA(),Raw_data!D247)</f>
        <v>13</v>
      </c>
      <c r="E247" s="16">
        <f>IF(Raw_data!E247="",NA(),Raw_data!E247)</f>
        <v>289.57</v>
      </c>
      <c r="F247" s="14" t="str">
        <f>IF(Raw_data!F247="",NA(),Raw_data!F247)</f>
        <v>USA</v>
      </c>
      <c r="G247">
        <f t="shared" si="3"/>
        <v>1</v>
      </c>
    </row>
    <row r="248" spans="1:7" x14ac:dyDescent="0.25">
      <c r="A248" s="1">
        <f>IF(Raw_data!A248="",NA(),Raw_data!A248)</f>
        <v>44643</v>
      </c>
      <c r="B248" s="14" t="str">
        <f>IF(Raw_data!B248="",NA(),Raw_data!B248)</f>
        <v>Allergy Pills</v>
      </c>
      <c r="C248" s="14" t="str">
        <f>IF(Raw_data!C248="",NA(),Raw_data!C248)</f>
        <v>Sneha Iyer</v>
      </c>
      <c r="D248" s="15">
        <f>IF(Raw_data!D248="",NA(),Raw_data!D248)</f>
        <v>19</v>
      </c>
      <c r="E248" s="16">
        <f>IF(Raw_data!E248="",NA(),Raw_data!E248)</f>
        <v>335.15</v>
      </c>
      <c r="F248" s="14" t="str">
        <f>IF(Raw_data!F248="",NA(),Raw_data!F248)</f>
        <v>Australia</v>
      </c>
      <c r="G248">
        <f t="shared" si="3"/>
        <v>1</v>
      </c>
    </row>
    <row r="249" spans="1:7" x14ac:dyDescent="0.25">
      <c r="A249" s="1">
        <f>IF(Raw_data!A249="",NA(),Raw_data!A249)</f>
        <v>44776</v>
      </c>
      <c r="B249" s="14" t="str">
        <f>IF(Raw_data!B249="",NA(),Raw_data!B249)</f>
        <v>Eye Drops</v>
      </c>
      <c r="C249" s="14" t="str">
        <f>IF(Raw_data!C249="",NA(),Raw_data!C249)</f>
        <v>Aman Verma</v>
      </c>
      <c r="D249" s="15">
        <f>IF(Raw_data!D249="",NA(),Raw_data!D249)</f>
        <v>6</v>
      </c>
      <c r="E249" s="16">
        <f>IF(Raw_data!E249="",NA(),Raw_data!E249)</f>
        <v>88.2</v>
      </c>
      <c r="F249" s="14" t="str">
        <f>IF(Raw_data!F249="",NA(),Raw_data!F249)</f>
        <v>India</v>
      </c>
      <c r="G249">
        <f t="shared" si="3"/>
        <v>1</v>
      </c>
    </row>
    <row r="250" spans="1:7" x14ac:dyDescent="0.25">
      <c r="A250" s="1">
        <f>IF(Raw_data!A250="",NA(),Raw_data!A250)</f>
        <v>44656</v>
      </c>
      <c r="B250" s="14" t="str">
        <f>IF(Raw_data!B250="",NA(),Raw_data!B250)</f>
        <v>Allergy Pills</v>
      </c>
      <c r="C250" s="14" t="str">
        <f>IF(Raw_data!C250="",NA(),Raw_data!C250)</f>
        <v>Ritika Shah</v>
      </c>
      <c r="D250" s="15">
        <f>IF(Raw_data!D250="",NA(),Raw_data!D250)</f>
        <v>2</v>
      </c>
      <c r="E250" s="16">
        <f>IF(Raw_data!E250="",NA(),Raw_data!E250)</f>
        <v>47.92</v>
      </c>
      <c r="F250" s="14" t="str">
        <f>IF(Raw_data!F250="",NA(),Raw_data!F250)</f>
        <v>Canada</v>
      </c>
      <c r="G250">
        <f t="shared" si="3"/>
        <v>1</v>
      </c>
    </row>
    <row r="251" spans="1:7" x14ac:dyDescent="0.25">
      <c r="A251" s="1">
        <f>IF(Raw_data!A251="",NA(),Raw_data!A251)</f>
        <v>44589</v>
      </c>
      <c r="B251" s="14" t="str">
        <f>IF(Raw_data!B251="",NA(),Raw_data!B251)</f>
        <v>Antiseptic Cream</v>
      </c>
      <c r="C251" s="14" t="str">
        <f>IF(Raw_data!C251="",NA(),Raw_data!C251)</f>
        <v>Rajesh Patel</v>
      </c>
      <c r="D251" s="15">
        <f>IF(Raw_data!D251="",NA(),Raw_data!D251)</f>
        <v>7</v>
      </c>
      <c r="E251" s="16">
        <f>IF(Raw_data!E251="",NA(),Raw_data!E251)</f>
        <v>65.17</v>
      </c>
      <c r="F251" s="14" t="str">
        <f>IF(Raw_data!F251="",NA(),Raw_data!F251)</f>
        <v>Australia</v>
      </c>
      <c r="G251">
        <f t="shared" si="3"/>
        <v>1</v>
      </c>
    </row>
    <row r="252" spans="1:7" x14ac:dyDescent="0.25">
      <c r="A252" s="1">
        <f>IF(Raw_data!A252="",NA(),Raw_data!A252)</f>
        <v>44577</v>
      </c>
      <c r="B252" s="14" t="str">
        <f>IF(Raw_data!B252="",NA(),Raw_data!B252)</f>
        <v>Eye Drops</v>
      </c>
      <c r="C252" s="14" t="str">
        <f>IF(Raw_data!C252="",NA(),Raw_data!C252)</f>
        <v>Divya Mehra</v>
      </c>
      <c r="D252" s="15">
        <f>IF(Raw_data!D252="",NA(),Raw_data!D252)</f>
        <v>3</v>
      </c>
      <c r="E252" s="16">
        <f>IF(Raw_data!E252="",NA(),Raw_data!E252)</f>
        <v>27.98</v>
      </c>
      <c r="F252" s="14" t="str">
        <f>IF(Raw_data!F252="",NA(),Raw_data!F252)</f>
        <v>USA</v>
      </c>
      <c r="G252">
        <f t="shared" si="3"/>
        <v>1</v>
      </c>
    </row>
    <row r="253" spans="1:7" x14ac:dyDescent="0.25">
      <c r="A253" s="1">
        <f>IF(Raw_data!A253="",NA(),Raw_data!A253)</f>
        <v>44613</v>
      </c>
      <c r="B253" s="14" t="str">
        <f>IF(Raw_data!B253="",NA(),Raw_data!B253)</f>
        <v>Allergy Pills</v>
      </c>
      <c r="C253" s="14" t="str">
        <f>IF(Raw_data!C253="",NA(),Raw_data!C253)</f>
        <v>Aman Verma</v>
      </c>
      <c r="D253" s="15">
        <f>IF(Raw_data!D253="",NA(),Raw_data!D253)</f>
        <v>8</v>
      </c>
      <c r="E253" s="16">
        <f>IF(Raw_data!E253="",NA(),Raw_data!E253)</f>
        <v>197.83</v>
      </c>
      <c r="F253" s="14" t="str">
        <f>IF(Raw_data!F253="",NA(),Raw_data!F253)</f>
        <v>USA</v>
      </c>
      <c r="G253">
        <f t="shared" si="3"/>
        <v>1</v>
      </c>
    </row>
    <row r="254" spans="1:7" x14ac:dyDescent="0.25">
      <c r="A254" s="1">
        <f>IF(Raw_data!A254="",NA(),Raw_data!A254)</f>
        <v>44622</v>
      </c>
      <c r="B254" s="14" t="str">
        <f>IF(Raw_data!B254="",NA(),Raw_data!B254)</f>
        <v>Nasal Spray</v>
      </c>
      <c r="C254" s="14" t="str">
        <f>IF(Raw_data!C254="",NA(),Raw_data!C254)</f>
        <v>Nikhil Batra</v>
      </c>
      <c r="D254" s="15">
        <f>IF(Raw_data!D254="",NA(),Raw_data!D254)</f>
        <v>11</v>
      </c>
      <c r="E254" s="16">
        <f>IF(Raw_data!E254="",NA(),Raw_data!E254)</f>
        <v>204.72</v>
      </c>
      <c r="F254" s="14" t="str">
        <f>IF(Raw_data!F254="",NA(),Raw_data!F254)</f>
        <v>Canada</v>
      </c>
      <c r="G254">
        <f t="shared" si="3"/>
        <v>1</v>
      </c>
    </row>
    <row r="255" spans="1:7" x14ac:dyDescent="0.25">
      <c r="A255" s="1">
        <f>IF(Raw_data!A255="",NA(),Raw_data!A255)</f>
        <v>44622</v>
      </c>
      <c r="B255" s="14" t="str">
        <f>IF(Raw_data!B255="",NA(),Raw_data!B255)</f>
        <v>Pain Relief Tablets</v>
      </c>
      <c r="C255" s="14" t="str">
        <f>IF(Raw_data!C255="",NA(),Raw_data!C255)</f>
        <v>Divya Mehra</v>
      </c>
      <c r="D255" s="15">
        <f>IF(Raw_data!D255="",NA(),Raw_data!D255)</f>
        <v>17</v>
      </c>
      <c r="E255" s="16">
        <f>IF(Raw_data!E255="",NA(),Raw_data!E255)</f>
        <v>316.18</v>
      </c>
      <c r="F255" s="14" t="str">
        <f>IF(Raw_data!F255="",NA(),Raw_data!F255)</f>
        <v>UK</v>
      </c>
      <c r="G255">
        <f t="shared" si="3"/>
        <v>1</v>
      </c>
    </row>
    <row r="256" spans="1:7" x14ac:dyDescent="0.25">
      <c r="A256" s="1">
        <f>IF(Raw_data!A256="",NA(),Raw_data!A256)</f>
        <v>44612</v>
      </c>
      <c r="B256" s="14" t="str">
        <f>IF(Raw_data!B256="",NA(),Raw_data!B256)</f>
        <v>Antiseptic Cream</v>
      </c>
      <c r="C256" s="14" t="str">
        <f>IF(Raw_data!C256="",NA(),Raw_data!C256)</f>
        <v>Aman Verma</v>
      </c>
      <c r="D256" s="15">
        <f>IF(Raw_data!D256="",NA(),Raw_data!D256)</f>
        <v>8</v>
      </c>
      <c r="E256" s="16">
        <f>IF(Raw_data!E256="",NA(),Raw_data!E256)</f>
        <v>81.36</v>
      </c>
      <c r="F256" s="14" t="str">
        <f>IF(Raw_data!F256="",NA(),Raw_data!F256)</f>
        <v>Australia</v>
      </c>
      <c r="G256">
        <f t="shared" si="3"/>
        <v>1</v>
      </c>
    </row>
    <row r="257" spans="1:7" x14ac:dyDescent="0.25">
      <c r="A257" s="1">
        <f>IF(Raw_data!A257="",NA(),Raw_data!A257)</f>
        <v>44633</v>
      </c>
      <c r="B257" s="14" t="str">
        <f>IF(Raw_data!B257="",NA(),Raw_data!B257)</f>
        <v>Pain Relief Tablets</v>
      </c>
      <c r="C257" s="14" t="str">
        <f>IF(Raw_data!C257="",NA(),Raw_data!C257)</f>
        <v>Divya Mehra</v>
      </c>
      <c r="D257" s="15">
        <f>IF(Raw_data!D257="",NA(),Raw_data!D257)</f>
        <v>18</v>
      </c>
      <c r="E257" s="16">
        <f>IF(Raw_data!E257="",NA(),Raw_data!E257)</f>
        <v>315.74</v>
      </c>
      <c r="F257" s="14" t="str">
        <f>IF(Raw_data!F257="",NA(),Raw_data!F257)</f>
        <v>India</v>
      </c>
      <c r="G257">
        <f t="shared" si="3"/>
        <v>1</v>
      </c>
    </row>
    <row r="258" spans="1:7" x14ac:dyDescent="0.25">
      <c r="A258" s="1">
        <f>IF(Raw_data!A258="",NA(),Raw_data!A258)</f>
        <v>44594</v>
      </c>
      <c r="B258" s="14" t="str">
        <f>IF(Raw_data!B258="",NA(),Raw_data!B258)</f>
        <v>Digestive Enzyme</v>
      </c>
      <c r="C258" s="14" t="str">
        <f>IF(Raw_data!C258="",NA(),Raw_data!C258)</f>
        <v>Aman Verma</v>
      </c>
      <c r="D258" s="15">
        <f>IF(Raw_data!D258="",NA(),Raw_data!D258)</f>
        <v>4</v>
      </c>
      <c r="E258" s="16">
        <f>IF(Raw_data!E258="",NA(),Raw_data!E258)</f>
        <v>88.26</v>
      </c>
      <c r="F258" s="14" t="str">
        <f>IF(Raw_data!F258="",NA(),Raw_data!F258)</f>
        <v>India</v>
      </c>
      <c r="G258">
        <f t="shared" ref="G258:G321" si="4">COUNTIFS(A:A,A258,B:B,B258,C:C,C258,D:D,D258,E:E,E258,F:F,F258)</f>
        <v>1</v>
      </c>
    </row>
    <row r="259" spans="1:7" x14ac:dyDescent="0.25">
      <c r="A259" s="1">
        <f>IF(Raw_data!A259="",NA(),Raw_data!A259)</f>
        <v>44762</v>
      </c>
      <c r="B259" s="14" t="str">
        <f>IF(Raw_data!B259="",NA(),Raw_data!B259)</f>
        <v>Pain Relief Tablets</v>
      </c>
      <c r="C259" s="14" t="str">
        <f>IF(Raw_data!C259="",NA(),Raw_data!C259)</f>
        <v>Priya Singh</v>
      </c>
      <c r="D259" s="15">
        <f>IF(Raw_data!D259="",NA(),Raw_data!D259)</f>
        <v>2</v>
      </c>
      <c r="E259" s="16">
        <f>IF(Raw_data!E259="",NA(),Raw_data!E259)</f>
        <v>28.36</v>
      </c>
      <c r="F259" s="14" t="str">
        <f>IF(Raw_data!F259="",NA(),Raw_data!F259)</f>
        <v>Canada</v>
      </c>
      <c r="G259">
        <f t="shared" si="4"/>
        <v>1</v>
      </c>
    </row>
    <row r="260" spans="1:7" x14ac:dyDescent="0.25">
      <c r="A260" s="1">
        <f>IF(Raw_data!A260="",NA(),Raw_data!A260)</f>
        <v>44684</v>
      </c>
      <c r="B260" s="14" t="str">
        <f>IF(Raw_data!B260="",NA(),Raw_data!B260)</f>
        <v>Cough Syrup</v>
      </c>
      <c r="C260" s="14" t="str">
        <f>IF(Raw_data!C260="",NA(),Raw_data!C260)</f>
        <v>Nikhil Batra</v>
      </c>
      <c r="D260" s="15">
        <f>IF(Raw_data!D260="",NA(),Raw_data!D260)</f>
        <v>9</v>
      </c>
      <c r="E260" s="16">
        <f>IF(Raw_data!E260="",NA(),Raw_data!E260)</f>
        <v>138.31</v>
      </c>
      <c r="F260" s="14" t="str">
        <f>IF(Raw_data!F260="",NA(),Raw_data!F260)</f>
        <v>Canada</v>
      </c>
      <c r="G260">
        <f t="shared" si="4"/>
        <v>1</v>
      </c>
    </row>
    <row r="261" spans="1:7" x14ac:dyDescent="0.25">
      <c r="A261" s="1">
        <f>IF(Raw_data!A261="",NA(),Raw_data!A261)</f>
        <v>44683</v>
      </c>
      <c r="B261" s="14" t="str">
        <f>IF(Raw_data!B261="",NA(),Raw_data!B261)</f>
        <v>Pain Relief Tablets</v>
      </c>
      <c r="C261" s="14" t="str">
        <f>IF(Raw_data!C261="",NA(),Raw_data!C261)</f>
        <v>Aman Verma</v>
      </c>
      <c r="D261" s="15">
        <f>IF(Raw_data!D261="",NA(),Raw_data!D261)</f>
        <v>18</v>
      </c>
      <c r="E261" s="16">
        <f>IF(Raw_data!E261="",NA(),Raw_data!E261)</f>
        <v>260.35000000000002</v>
      </c>
      <c r="F261" s="14" t="str">
        <f>IF(Raw_data!F261="",NA(),Raw_data!F261)</f>
        <v>USA</v>
      </c>
      <c r="G261">
        <f t="shared" si="4"/>
        <v>1</v>
      </c>
    </row>
    <row r="262" spans="1:7" x14ac:dyDescent="0.25">
      <c r="A262" s="1">
        <f>IF(Raw_data!A262="",NA(),Raw_data!A262)</f>
        <v>44737</v>
      </c>
      <c r="B262" s="14" t="str">
        <f>IF(Raw_data!B262="",NA(),Raw_data!B262)</f>
        <v>Cough Syrup</v>
      </c>
      <c r="C262" s="14" t="str">
        <f>IF(Raw_data!C262="",NA(),Raw_data!C262)</f>
        <v>Priya Singh</v>
      </c>
      <c r="D262" s="15">
        <f>IF(Raw_data!D262="",NA(),Raw_data!D262)</f>
        <v>13</v>
      </c>
      <c r="E262" s="16">
        <f>IF(Raw_data!E262="",NA(),Raw_data!E262)</f>
        <v>227.31</v>
      </c>
      <c r="F262" s="14" t="str">
        <f>IF(Raw_data!F262="",NA(),Raw_data!F262)</f>
        <v>UK</v>
      </c>
      <c r="G262">
        <f t="shared" si="4"/>
        <v>1</v>
      </c>
    </row>
    <row r="263" spans="1:7" x14ac:dyDescent="0.25">
      <c r="A263" s="1">
        <f>IF(Raw_data!A263="",NA(),Raw_data!A263)</f>
        <v>44798</v>
      </c>
      <c r="B263" s="14" t="str">
        <f>IF(Raw_data!B263="",NA(),Raw_data!B263)</f>
        <v>Allergy Pills</v>
      </c>
      <c r="C263" s="14" t="str">
        <f>IF(Raw_data!C263="",NA(),Raw_data!C263)</f>
        <v>Rajesh Patel</v>
      </c>
      <c r="D263" s="15">
        <f>IF(Raw_data!D263="",NA(),Raw_data!D263)</f>
        <v>16</v>
      </c>
      <c r="E263" s="16">
        <f>IF(Raw_data!E263="",NA(),Raw_data!E263)</f>
        <v>130.5</v>
      </c>
      <c r="F263" s="14" t="str">
        <f>IF(Raw_data!F263="",NA(),Raw_data!F263)</f>
        <v>Australia</v>
      </c>
      <c r="G263">
        <f t="shared" si="4"/>
        <v>1</v>
      </c>
    </row>
    <row r="264" spans="1:7" x14ac:dyDescent="0.25">
      <c r="A264" s="1">
        <f>IF(Raw_data!A264="",NA(),Raw_data!A264)</f>
        <v>44769</v>
      </c>
      <c r="B264" s="14" t="str">
        <f>IF(Raw_data!B264="",NA(),Raw_data!B264)</f>
        <v>Nasal Spray</v>
      </c>
      <c r="C264" s="14" t="str">
        <f>IF(Raw_data!C264="",NA(),Raw_data!C264)</f>
        <v>Divya Mehra</v>
      </c>
      <c r="D264" s="15">
        <f>IF(Raw_data!D264="",NA(),Raw_data!D264)</f>
        <v>4</v>
      </c>
      <c r="E264" s="16">
        <f>IF(Raw_data!E264="",NA(),Raw_data!E264)</f>
        <v>86.5</v>
      </c>
      <c r="F264" s="14" t="str">
        <f>IF(Raw_data!F264="",NA(),Raw_data!F264)</f>
        <v>USA</v>
      </c>
      <c r="G264">
        <f t="shared" si="4"/>
        <v>1</v>
      </c>
    </row>
    <row r="265" spans="1:7" x14ac:dyDescent="0.25">
      <c r="A265" s="1">
        <f>IF(Raw_data!A265="",NA(),Raw_data!A265)</f>
        <v>44799</v>
      </c>
      <c r="B265" s="14" t="str">
        <f>IF(Raw_data!B265="",NA(),Raw_data!B265)</f>
        <v>Eye Drops</v>
      </c>
      <c r="C265" s="14" t="str">
        <f>IF(Raw_data!C265="",NA(),Raw_data!C265)</f>
        <v>Nikhil Batra</v>
      </c>
      <c r="D265" s="15">
        <f>IF(Raw_data!D265="",NA(),Raw_data!D265)</f>
        <v>19</v>
      </c>
      <c r="E265" s="16">
        <f>IF(Raw_data!E265="",NA(),Raw_data!E265)</f>
        <v>364.12</v>
      </c>
      <c r="F265" s="14" t="str">
        <f>IF(Raw_data!F265="",NA(),Raw_data!F265)</f>
        <v>Australia</v>
      </c>
      <c r="G265">
        <f t="shared" si="4"/>
        <v>1</v>
      </c>
    </row>
    <row r="266" spans="1:7" x14ac:dyDescent="0.25">
      <c r="A266" s="1">
        <f>IF(Raw_data!A266="",NA(),Raw_data!A266)</f>
        <v>44694</v>
      </c>
      <c r="B266" s="14" t="str">
        <f>IF(Raw_data!B266="",NA(),Raw_data!B266)</f>
        <v>Eye Drops</v>
      </c>
      <c r="C266" s="14" t="str">
        <f>IF(Raw_data!C266="",NA(),Raw_data!C266)</f>
        <v>Nikhil Batra</v>
      </c>
      <c r="D266" s="15">
        <f>IF(Raw_data!D266="",NA(),Raw_data!D266)</f>
        <v>7</v>
      </c>
      <c r="E266" s="16">
        <f>IF(Raw_data!E266="",NA(),Raw_data!E266)</f>
        <v>134.85</v>
      </c>
      <c r="F266" s="14" t="str">
        <f>IF(Raw_data!F266="",NA(),Raw_data!F266)</f>
        <v>UK</v>
      </c>
      <c r="G266">
        <f t="shared" si="4"/>
        <v>1</v>
      </c>
    </row>
    <row r="267" spans="1:7" x14ac:dyDescent="0.25">
      <c r="A267" s="1">
        <f>IF(Raw_data!A267="",NA(),Raw_data!A267)</f>
        <v>44604</v>
      </c>
      <c r="B267" s="14" t="str">
        <f>IF(Raw_data!B267="",NA(),Raw_data!B267)</f>
        <v>Digestive Enzyme</v>
      </c>
      <c r="C267" s="14" t="str">
        <f>IF(Raw_data!C267="",NA(),Raw_data!C267)</f>
        <v>Sneha Iyer</v>
      </c>
      <c r="D267" s="15">
        <f>IF(Raw_data!D267="",NA(),Raw_data!D267)</f>
        <v>14</v>
      </c>
      <c r="E267" s="16">
        <f>IF(Raw_data!E267="",NA(),Raw_data!E267)</f>
        <v>290.45</v>
      </c>
      <c r="F267" s="14" t="str">
        <f>IF(Raw_data!F267="",NA(),Raw_data!F267)</f>
        <v>UK</v>
      </c>
      <c r="G267">
        <f t="shared" si="4"/>
        <v>1</v>
      </c>
    </row>
    <row r="268" spans="1:7" x14ac:dyDescent="0.25">
      <c r="A268" s="1">
        <f>IF(Raw_data!A268="",NA(),Raw_data!A268)</f>
        <v>44634</v>
      </c>
      <c r="B268" s="14" t="str">
        <f>IF(Raw_data!B268="",NA(),Raw_data!B268)</f>
        <v>Allergy Pills</v>
      </c>
      <c r="C268" s="14" t="str">
        <f>IF(Raw_data!C268="",NA(),Raw_data!C268)</f>
        <v>Aman Verma</v>
      </c>
      <c r="D268" s="15">
        <f>IF(Raw_data!D268="",NA(),Raw_data!D268)</f>
        <v>20</v>
      </c>
      <c r="E268" s="16">
        <f>IF(Raw_data!E268="",NA(),Raw_data!E268)</f>
        <v>244.72</v>
      </c>
      <c r="F268" s="14" t="str">
        <f>IF(Raw_data!F268="",NA(),Raw_data!F268)</f>
        <v>Canada</v>
      </c>
      <c r="G268">
        <f t="shared" si="4"/>
        <v>1</v>
      </c>
    </row>
    <row r="269" spans="1:7" x14ac:dyDescent="0.25">
      <c r="A269" s="1">
        <f>IF(Raw_data!A269="",NA(),Raw_data!A269)</f>
        <v>44723</v>
      </c>
      <c r="B269" s="14" t="str">
        <f>IF(Raw_data!B269="",NA(),Raw_data!B269)</f>
        <v>Antiseptic Cream</v>
      </c>
      <c r="C269" s="14" t="str">
        <f>IF(Raw_data!C269="",NA(),Raw_data!C269)</f>
        <v>Divya Mehra</v>
      </c>
      <c r="D269" s="15">
        <f>IF(Raw_data!D269="",NA(),Raw_data!D269)</f>
        <v>4</v>
      </c>
      <c r="E269" s="16">
        <f>IF(Raw_data!E269="",NA(),Raw_data!E269)</f>
        <v>75.989999999999995</v>
      </c>
      <c r="F269" s="14" t="str">
        <f>IF(Raw_data!F269="",NA(),Raw_data!F269)</f>
        <v>UK</v>
      </c>
      <c r="G269">
        <f t="shared" si="4"/>
        <v>1</v>
      </c>
    </row>
    <row r="270" spans="1:7" x14ac:dyDescent="0.25">
      <c r="A270" s="1">
        <f>IF(Raw_data!A270="",NA(),Raw_data!A270)</f>
        <v>44623</v>
      </c>
      <c r="B270" s="14" t="str">
        <f>IF(Raw_data!B270="",NA(),Raw_data!B270)</f>
        <v>Eye Drops</v>
      </c>
      <c r="C270" s="14" t="str">
        <f>IF(Raw_data!C270="",NA(),Raw_data!C270)</f>
        <v>Priya Singh</v>
      </c>
      <c r="D270" s="15">
        <f>IF(Raw_data!D270="",NA(),Raw_data!D270)</f>
        <v>13</v>
      </c>
      <c r="E270" s="16">
        <f>IF(Raw_data!E270="",NA(),Raw_data!E270)</f>
        <v>318.33</v>
      </c>
      <c r="F270" s="14" t="str">
        <f>IF(Raw_data!F270="",NA(),Raw_data!F270)</f>
        <v>USA</v>
      </c>
      <c r="G270">
        <f t="shared" si="4"/>
        <v>1</v>
      </c>
    </row>
    <row r="271" spans="1:7" x14ac:dyDescent="0.25">
      <c r="A271" s="1">
        <f>IF(Raw_data!A271="",NA(),Raw_data!A271)</f>
        <v>44568</v>
      </c>
      <c r="B271" s="14" t="str">
        <f>IF(Raw_data!B271="",NA(),Raw_data!B271)</f>
        <v>Eye Drops</v>
      </c>
      <c r="C271" s="14" t="str">
        <f>IF(Raw_data!C271="",NA(),Raw_data!C271)</f>
        <v>Sneha Iyer</v>
      </c>
      <c r="D271" s="15">
        <f>IF(Raw_data!D271="",NA(),Raw_data!D271)</f>
        <v>10</v>
      </c>
      <c r="E271" s="16">
        <f>IF(Raw_data!E271="",NA(),Raw_data!E271)</f>
        <v>220.07</v>
      </c>
      <c r="F271" s="14" t="str">
        <f>IF(Raw_data!F271="",NA(),Raw_data!F271)</f>
        <v>USA</v>
      </c>
      <c r="G271">
        <f t="shared" si="4"/>
        <v>1</v>
      </c>
    </row>
    <row r="272" spans="1:7" x14ac:dyDescent="0.25">
      <c r="A272" s="1">
        <f>IF(Raw_data!A272="",NA(),Raw_data!A272)</f>
        <v>44574</v>
      </c>
      <c r="B272" s="14" t="str">
        <f>IF(Raw_data!B272="",NA(),Raw_data!B272)</f>
        <v>Antiseptic Cream</v>
      </c>
      <c r="C272" s="14" t="str">
        <f>IF(Raw_data!C272="",NA(),Raw_data!C272)</f>
        <v>Priya Singh</v>
      </c>
      <c r="D272" s="15">
        <f>IF(Raw_data!D272="",NA(),Raw_data!D272)</f>
        <v>17</v>
      </c>
      <c r="E272" s="16">
        <f>IF(Raw_data!E272="",NA(),Raw_data!E272)</f>
        <v>311.83</v>
      </c>
      <c r="F272" s="14" t="str">
        <f>IF(Raw_data!F272="",NA(),Raw_data!F272)</f>
        <v>Canada</v>
      </c>
      <c r="G272">
        <f t="shared" si="4"/>
        <v>1</v>
      </c>
    </row>
    <row r="273" spans="1:7" x14ac:dyDescent="0.25">
      <c r="A273" s="1">
        <f>IF(Raw_data!A273="",NA(),Raw_data!A273)</f>
        <v>44588</v>
      </c>
      <c r="B273" s="14" t="str">
        <f>IF(Raw_data!B273="",NA(),Raw_data!B273)</f>
        <v>Antiseptic Cream</v>
      </c>
      <c r="C273" s="14" t="str">
        <f>IF(Raw_data!C273="",NA(),Raw_data!C273)</f>
        <v>Aman Verma</v>
      </c>
      <c r="D273" s="15">
        <f>IF(Raw_data!D273="",NA(),Raw_data!D273)</f>
        <v>12</v>
      </c>
      <c r="E273" s="16">
        <f>IF(Raw_data!E273="",NA(),Raw_data!E273)</f>
        <v>158.5</v>
      </c>
      <c r="F273" s="14" t="str">
        <f>IF(Raw_data!F273="",NA(),Raw_data!F273)</f>
        <v>India</v>
      </c>
      <c r="G273">
        <f t="shared" si="4"/>
        <v>1</v>
      </c>
    </row>
    <row r="274" spans="1:7" x14ac:dyDescent="0.25">
      <c r="A274" s="1">
        <f>IF(Raw_data!A274="",NA(),Raw_data!A274)</f>
        <v>44749</v>
      </c>
      <c r="B274" s="14" t="str">
        <f>IF(Raw_data!B274="",NA(),Raw_data!B274)</f>
        <v>Pain Relief Tablets</v>
      </c>
      <c r="C274" s="14" t="str">
        <f>IF(Raw_data!C274="",NA(),Raw_data!C274)</f>
        <v>Rajesh Patel</v>
      </c>
      <c r="D274" s="15">
        <f>IF(Raw_data!D274="",NA(),Raw_data!D274)</f>
        <v>5</v>
      </c>
      <c r="E274" s="16">
        <f>IF(Raw_data!E274="",NA(),Raw_data!E274)</f>
        <v>57.11</v>
      </c>
      <c r="F274" s="14" t="str">
        <f>IF(Raw_data!F274="",NA(),Raw_data!F274)</f>
        <v>Canada</v>
      </c>
      <c r="G274">
        <f t="shared" si="4"/>
        <v>1</v>
      </c>
    </row>
    <row r="275" spans="1:7" x14ac:dyDescent="0.25">
      <c r="A275" s="1">
        <f>IF(Raw_data!A275="",NA(),Raw_data!A275)</f>
        <v>44605</v>
      </c>
      <c r="B275" s="14" t="str">
        <f>IF(Raw_data!B275="",NA(),Raw_data!B275)</f>
        <v>Cough Syrup</v>
      </c>
      <c r="C275" s="14" t="str">
        <f>IF(Raw_data!C275="",NA(),Raw_data!C275)</f>
        <v>Priya Singh</v>
      </c>
      <c r="D275" s="15">
        <f>IF(Raw_data!D275="",NA(),Raw_data!D275)</f>
        <v>7</v>
      </c>
      <c r="E275" s="16">
        <f>IF(Raw_data!E275="",NA(),Raw_data!E275)</f>
        <v>125.02</v>
      </c>
      <c r="F275" s="14" t="str">
        <f>IF(Raw_data!F275="",NA(),Raw_data!F275)</f>
        <v>Australia</v>
      </c>
      <c r="G275">
        <f t="shared" si="4"/>
        <v>1</v>
      </c>
    </row>
    <row r="276" spans="1:7" x14ac:dyDescent="0.25">
      <c r="A276" s="1">
        <f>IF(Raw_data!A276="",NA(),Raw_data!A276)</f>
        <v>44659</v>
      </c>
      <c r="B276" s="14" t="str">
        <f>IF(Raw_data!B276="",NA(),Raw_data!B276)</f>
        <v>Cough Syrup</v>
      </c>
      <c r="C276" s="14" t="str">
        <f>IF(Raw_data!C276="",NA(),Raw_data!C276)</f>
        <v>Rajesh Patel</v>
      </c>
      <c r="D276" s="15">
        <f>IF(Raw_data!D276="",NA(),Raw_data!D276)</f>
        <v>20</v>
      </c>
      <c r="E276" s="16">
        <f>IF(Raw_data!E276="",NA(),Raw_data!E276)</f>
        <v>494.08</v>
      </c>
      <c r="F276" s="14" t="str">
        <f>IF(Raw_data!F276="",NA(),Raw_data!F276)</f>
        <v>USA</v>
      </c>
      <c r="G276">
        <f t="shared" si="4"/>
        <v>1</v>
      </c>
    </row>
    <row r="277" spans="1:7" x14ac:dyDescent="0.25">
      <c r="A277" s="1">
        <f>IF(Raw_data!A277="",NA(),Raw_data!A277)</f>
        <v>44744</v>
      </c>
      <c r="B277" s="14" t="str">
        <f>IF(Raw_data!B277="",NA(),Raw_data!B277)</f>
        <v>Antiseptic Cream</v>
      </c>
      <c r="C277" s="14" t="str">
        <f>IF(Raw_data!C277="",NA(),Raw_data!C277)</f>
        <v>Priya Singh</v>
      </c>
      <c r="D277" s="15">
        <f>IF(Raw_data!D277="",NA(),Raw_data!D277)</f>
        <v>17</v>
      </c>
      <c r="E277" s="16">
        <f>IF(Raw_data!E277="",NA(),Raw_data!E277)</f>
        <v>374.2</v>
      </c>
      <c r="F277" s="14" t="str">
        <f>IF(Raw_data!F277="",NA(),Raw_data!F277)</f>
        <v>Australia</v>
      </c>
      <c r="G277">
        <f t="shared" si="4"/>
        <v>1</v>
      </c>
    </row>
    <row r="278" spans="1:7" x14ac:dyDescent="0.25">
      <c r="A278" s="1">
        <f>IF(Raw_data!A278="",NA(),Raw_data!A278)</f>
        <v>44606</v>
      </c>
      <c r="B278" s="14" t="str">
        <f>IF(Raw_data!B278="",NA(),Raw_data!B278)</f>
        <v>Pain Relief Tablets</v>
      </c>
      <c r="C278" s="14" t="str">
        <f>IF(Raw_data!C278="",NA(),Raw_data!C278)</f>
        <v>Nikhil Batra</v>
      </c>
      <c r="D278" s="15">
        <f>IF(Raw_data!D278="",NA(),Raw_data!D278)</f>
        <v>15</v>
      </c>
      <c r="E278" s="16">
        <f>IF(Raw_data!E278="",NA(),Raw_data!E278)</f>
        <v>312.47000000000003</v>
      </c>
      <c r="F278" s="14" t="str">
        <f>IF(Raw_data!F278="",NA(),Raw_data!F278)</f>
        <v>Canada</v>
      </c>
      <c r="G278">
        <f t="shared" si="4"/>
        <v>1</v>
      </c>
    </row>
    <row r="279" spans="1:7" x14ac:dyDescent="0.25">
      <c r="A279" s="1">
        <f>IF(Raw_data!A279="",NA(),Raw_data!A279)</f>
        <v>44757</v>
      </c>
      <c r="B279" s="14" t="str">
        <f>IF(Raw_data!B279="",NA(),Raw_data!B279)</f>
        <v>Allergy Pills</v>
      </c>
      <c r="C279" s="14" t="str">
        <f>IF(Raw_data!C279="",NA(),Raw_data!C279)</f>
        <v>Ritika Shah</v>
      </c>
      <c r="D279" s="15">
        <f>IF(Raw_data!D279="",NA(),Raw_data!D279)</f>
        <v>16</v>
      </c>
      <c r="E279" s="16">
        <f>IF(Raw_data!E279="",NA(),Raw_data!E279)</f>
        <v>371.27</v>
      </c>
      <c r="F279" s="14" t="str">
        <f>IF(Raw_data!F279="",NA(),Raw_data!F279)</f>
        <v>India</v>
      </c>
      <c r="G279">
        <f t="shared" si="4"/>
        <v>1</v>
      </c>
    </row>
    <row r="280" spans="1:7" x14ac:dyDescent="0.25">
      <c r="A280" s="1">
        <f>IF(Raw_data!A280="",NA(),Raw_data!A280)</f>
        <v>44600</v>
      </c>
      <c r="B280" s="14" t="str">
        <f>IF(Raw_data!B280="",NA(),Raw_data!B280)</f>
        <v>Digestive Enzyme</v>
      </c>
      <c r="C280" s="14" t="str">
        <f>IF(Raw_data!C280="",NA(),Raw_data!C280)</f>
        <v>Divya Mehra</v>
      </c>
      <c r="D280" s="15">
        <f>IF(Raw_data!D280="",NA(),Raw_data!D280)</f>
        <v>2</v>
      </c>
      <c r="E280" s="16">
        <f>IF(Raw_data!E280="",NA(),Raw_data!E280)</f>
        <v>49.7</v>
      </c>
      <c r="F280" s="14" t="str">
        <f>IF(Raw_data!F280="",NA(),Raw_data!F280)</f>
        <v>UK</v>
      </c>
      <c r="G280">
        <f t="shared" si="4"/>
        <v>1</v>
      </c>
    </row>
    <row r="281" spans="1:7" x14ac:dyDescent="0.25">
      <c r="A281" s="1">
        <f>IF(Raw_data!A281="",NA(),Raw_data!A281)</f>
        <v>44608</v>
      </c>
      <c r="B281" s="14" t="str">
        <f>IF(Raw_data!B281="",NA(),Raw_data!B281)</f>
        <v>Eye Drops</v>
      </c>
      <c r="C281" s="14" t="str">
        <f>IF(Raw_data!C281="",NA(),Raw_data!C281)</f>
        <v>Rajesh Patel</v>
      </c>
      <c r="D281" s="15">
        <f>IF(Raw_data!D281="",NA(),Raw_data!D281)</f>
        <v>1</v>
      </c>
      <c r="E281" s="16">
        <f>IF(Raw_data!E281="",NA(),Raw_data!E281)</f>
        <v>8.77</v>
      </c>
      <c r="F281" s="14" t="str">
        <f>IF(Raw_data!F281="",NA(),Raw_data!F281)</f>
        <v>USA</v>
      </c>
      <c r="G281">
        <f t="shared" si="4"/>
        <v>1</v>
      </c>
    </row>
    <row r="282" spans="1:7" x14ac:dyDescent="0.25">
      <c r="A282" s="1">
        <f>IF(Raw_data!A282="",NA(),Raw_data!A282)</f>
        <v>44795</v>
      </c>
      <c r="B282" s="14" t="str">
        <f>IF(Raw_data!B282="",NA(),Raw_data!B282)</f>
        <v>Nasal Spray</v>
      </c>
      <c r="C282" s="14" t="str">
        <f>IF(Raw_data!C282="",NA(),Raw_data!C282)</f>
        <v>Sneha Iyer</v>
      </c>
      <c r="D282" s="15">
        <f>IF(Raw_data!D282="",NA(),Raw_data!D282)</f>
        <v>7</v>
      </c>
      <c r="E282" s="16">
        <f>IF(Raw_data!E282="",NA(),Raw_data!E282)</f>
        <v>146.37</v>
      </c>
      <c r="F282" s="14" t="str">
        <f>IF(Raw_data!F282="",NA(),Raw_data!F282)</f>
        <v>India</v>
      </c>
      <c r="G282">
        <f t="shared" si="4"/>
        <v>1</v>
      </c>
    </row>
    <row r="283" spans="1:7" x14ac:dyDescent="0.25">
      <c r="A283" s="1">
        <f>IF(Raw_data!A283="",NA(),Raw_data!A283)</f>
        <v>44696</v>
      </c>
      <c r="B283" s="14" t="str">
        <f>IF(Raw_data!B283="",NA(),Raw_data!B283)</f>
        <v>Digestive Enzyme</v>
      </c>
      <c r="C283" s="14" t="str">
        <f>IF(Raw_data!C283="",NA(),Raw_data!C283)</f>
        <v>Ritika Shah</v>
      </c>
      <c r="D283" s="15">
        <f>IF(Raw_data!D283="",NA(),Raw_data!D283)</f>
        <v>15</v>
      </c>
      <c r="E283" s="16">
        <f>IF(Raw_data!E283="",NA(),Raw_data!E283)</f>
        <v>273.64999999999998</v>
      </c>
      <c r="F283" s="14" t="str">
        <f>IF(Raw_data!F283="",NA(),Raw_data!F283)</f>
        <v>Canada</v>
      </c>
      <c r="G283">
        <f t="shared" si="4"/>
        <v>1</v>
      </c>
    </row>
    <row r="284" spans="1:7" x14ac:dyDescent="0.25">
      <c r="A284" s="1">
        <f>IF(Raw_data!A284="",NA(),Raw_data!A284)</f>
        <v>44757</v>
      </c>
      <c r="B284" s="14" t="str">
        <f>IF(Raw_data!B284="",NA(),Raw_data!B284)</f>
        <v>Allergy Pills</v>
      </c>
      <c r="C284" s="14" t="str">
        <f>IF(Raw_data!C284="",NA(),Raw_data!C284)</f>
        <v>Aman Verma</v>
      </c>
      <c r="D284" s="15">
        <f>IF(Raw_data!D284="",NA(),Raw_data!D284)</f>
        <v>14</v>
      </c>
      <c r="E284" s="16">
        <f>IF(Raw_data!E284="",NA(),Raw_data!E284)</f>
        <v>185.36</v>
      </c>
      <c r="F284" s="14" t="str">
        <f>IF(Raw_data!F284="",NA(),Raw_data!F284)</f>
        <v>USA</v>
      </c>
      <c r="G284">
        <f t="shared" si="4"/>
        <v>1</v>
      </c>
    </row>
    <row r="285" spans="1:7" x14ac:dyDescent="0.25">
      <c r="A285" s="1">
        <f>IF(Raw_data!A285="",NA(),Raw_data!A285)</f>
        <v>44622</v>
      </c>
      <c r="B285" s="14" t="str">
        <f>IF(Raw_data!B285="",NA(),Raw_data!B285)</f>
        <v>Eye Drops</v>
      </c>
      <c r="C285" s="14" t="str">
        <f>IF(Raw_data!C285="",NA(),Raw_data!C285)</f>
        <v>Sneha Iyer</v>
      </c>
      <c r="D285" s="15">
        <f>IF(Raw_data!D285="",NA(),Raw_data!D285)</f>
        <v>17</v>
      </c>
      <c r="E285" s="16">
        <f>IF(Raw_data!E285="",NA(),Raw_data!E285)</f>
        <v>219.07</v>
      </c>
      <c r="F285" s="14" t="str">
        <f>IF(Raw_data!F285="",NA(),Raw_data!F285)</f>
        <v>Canada</v>
      </c>
      <c r="G285">
        <f t="shared" si="4"/>
        <v>1</v>
      </c>
    </row>
    <row r="286" spans="1:7" x14ac:dyDescent="0.25">
      <c r="A286" s="1">
        <f>IF(Raw_data!A286="",NA(),Raw_data!A286)</f>
        <v>44568</v>
      </c>
      <c r="B286" s="14" t="str">
        <f>IF(Raw_data!B286="",NA(),Raw_data!B286)</f>
        <v>Allergy Pills</v>
      </c>
      <c r="C286" s="14" t="str">
        <f>IF(Raw_data!C286="",NA(),Raw_data!C286)</f>
        <v>Aman Verma</v>
      </c>
      <c r="D286" s="15">
        <f>IF(Raw_data!D286="",NA(),Raw_data!D286)</f>
        <v>12</v>
      </c>
      <c r="E286" s="16">
        <f>IF(Raw_data!E286="",NA(),Raw_data!E286)</f>
        <v>134.44</v>
      </c>
      <c r="F286" s="14" t="str">
        <f>IF(Raw_data!F286="",NA(),Raw_data!F286)</f>
        <v>UK</v>
      </c>
      <c r="G286">
        <f t="shared" si="4"/>
        <v>1</v>
      </c>
    </row>
    <row r="287" spans="1:7" x14ac:dyDescent="0.25">
      <c r="A287" s="1">
        <f>IF(Raw_data!A287="",NA(),Raw_data!A287)</f>
        <v>44603</v>
      </c>
      <c r="B287" s="14" t="str">
        <f>IF(Raw_data!B287="",NA(),Raw_data!B287)</f>
        <v>Eye Drops</v>
      </c>
      <c r="C287" s="14" t="str">
        <f>IF(Raw_data!C287="",NA(),Raw_data!C287)</f>
        <v>Rajesh Patel</v>
      </c>
      <c r="D287" s="15">
        <f>IF(Raw_data!D287="",NA(),Raw_data!D287)</f>
        <v>19</v>
      </c>
      <c r="E287" s="16">
        <f>IF(Raw_data!E287="",NA(),Raw_data!E287)</f>
        <v>474.65</v>
      </c>
      <c r="F287" s="14" t="str">
        <f>IF(Raw_data!F287="",NA(),Raw_data!F287)</f>
        <v>Australia</v>
      </c>
      <c r="G287">
        <f t="shared" si="4"/>
        <v>1</v>
      </c>
    </row>
    <row r="288" spans="1:7" x14ac:dyDescent="0.25">
      <c r="A288" s="1">
        <f>IF(Raw_data!A288="",NA(),Raw_data!A288)</f>
        <v>44597</v>
      </c>
      <c r="B288" s="14" t="str">
        <f>IF(Raw_data!B288="",NA(),Raw_data!B288)</f>
        <v>Eye Drops</v>
      </c>
      <c r="C288" s="14" t="str">
        <f>IF(Raw_data!C288="",NA(),Raw_data!C288)</f>
        <v>Nikhil Batra</v>
      </c>
      <c r="D288" s="15">
        <f>IF(Raw_data!D288="",NA(),Raw_data!D288)</f>
        <v>14</v>
      </c>
      <c r="E288" s="16">
        <f>IF(Raw_data!E288="",NA(),Raw_data!E288)</f>
        <v>289.68</v>
      </c>
      <c r="F288" s="14" t="str">
        <f>IF(Raw_data!F288="",NA(),Raw_data!F288)</f>
        <v>USA</v>
      </c>
      <c r="G288">
        <f t="shared" si="4"/>
        <v>1</v>
      </c>
    </row>
    <row r="289" spans="1:7" x14ac:dyDescent="0.25">
      <c r="A289" s="1">
        <f>IF(Raw_data!A289="",NA(),Raw_data!A289)</f>
        <v>44678</v>
      </c>
      <c r="B289" s="14" t="str">
        <f>IF(Raw_data!B289="",NA(),Raw_data!B289)</f>
        <v>Cough Syrup</v>
      </c>
      <c r="C289" s="14" t="str">
        <f>IF(Raw_data!C289="",NA(),Raw_data!C289)</f>
        <v>Aman Verma</v>
      </c>
      <c r="D289" s="15">
        <f>IF(Raw_data!D289="",NA(),Raw_data!D289)</f>
        <v>18</v>
      </c>
      <c r="E289" s="16">
        <f>IF(Raw_data!E289="",NA(),Raw_data!E289)</f>
        <v>401.63</v>
      </c>
      <c r="F289" s="14" t="str">
        <f>IF(Raw_data!F289="",NA(),Raw_data!F289)</f>
        <v>Australia</v>
      </c>
      <c r="G289">
        <f t="shared" si="4"/>
        <v>1</v>
      </c>
    </row>
    <row r="290" spans="1:7" x14ac:dyDescent="0.25">
      <c r="A290" s="1">
        <f>IF(Raw_data!A290="",NA(),Raw_data!A290)</f>
        <v>44636</v>
      </c>
      <c r="B290" s="14" t="str">
        <f>IF(Raw_data!B290="",NA(),Raw_data!B290)</f>
        <v>Nasal Spray</v>
      </c>
      <c r="C290" s="14" t="str">
        <f>IF(Raw_data!C290="",NA(),Raw_data!C290)</f>
        <v>Aman Verma</v>
      </c>
      <c r="D290" s="15">
        <f>IF(Raw_data!D290="",NA(),Raw_data!D290)</f>
        <v>12</v>
      </c>
      <c r="E290" s="16">
        <f>IF(Raw_data!E290="",NA(),Raw_data!E290)</f>
        <v>123.89</v>
      </c>
      <c r="F290" s="14" t="str">
        <f>IF(Raw_data!F290="",NA(),Raw_data!F290)</f>
        <v>USA</v>
      </c>
      <c r="G290">
        <f t="shared" si="4"/>
        <v>1</v>
      </c>
    </row>
    <row r="291" spans="1:7" x14ac:dyDescent="0.25">
      <c r="A291" s="1">
        <f>IF(Raw_data!A291="",NA(),Raw_data!A291)</f>
        <v>44759</v>
      </c>
      <c r="B291" s="14" t="str">
        <f>IF(Raw_data!B291="",NA(),Raw_data!B291)</f>
        <v>Cough Syrup</v>
      </c>
      <c r="C291" s="14" t="str">
        <f>IF(Raw_data!C291="",NA(),Raw_data!C291)</f>
        <v>Sneha Iyer</v>
      </c>
      <c r="D291" s="15">
        <f>IF(Raw_data!D291="",NA(),Raw_data!D291)</f>
        <v>7</v>
      </c>
      <c r="E291" s="16">
        <f>IF(Raw_data!E291="",NA(),Raw_data!E291)</f>
        <v>140.54</v>
      </c>
      <c r="F291" s="14" t="str">
        <f>IF(Raw_data!F291="",NA(),Raw_data!F291)</f>
        <v>UK</v>
      </c>
      <c r="G291">
        <f t="shared" si="4"/>
        <v>1</v>
      </c>
    </row>
    <row r="292" spans="1:7" x14ac:dyDescent="0.25">
      <c r="A292" s="1">
        <f>IF(Raw_data!A292="",NA(),Raw_data!A292)</f>
        <v>44766</v>
      </c>
      <c r="B292" s="14" t="str">
        <f>IF(Raw_data!B292="",NA(),Raw_data!B292)</f>
        <v>Antiseptic Cream</v>
      </c>
      <c r="C292" s="14" t="str">
        <f>IF(Raw_data!C292="",NA(),Raw_data!C292)</f>
        <v>Priya Singh</v>
      </c>
      <c r="D292" s="15">
        <f>IF(Raw_data!D292="",NA(),Raw_data!D292)</f>
        <v>10</v>
      </c>
      <c r="E292" s="16">
        <f>IF(Raw_data!E292="",NA(),Raw_data!E292)</f>
        <v>209.65</v>
      </c>
      <c r="F292" s="14" t="str">
        <f>IF(Raw_data!F292="",NA(),Raw_data!F292)</f>
        <v>USA</v>
      </c>
      <c r="G292">
        <f t="shared" si="4"/>
        <v>1</v>
      </c>
    </row>
    <row r="293" spans="1:7" x14ac:dyDescent="0.25">
      <c r="A293" s="1">
        <f>IF(Raw_data!A293="",NA(),Raw_data!A293)</f>
        <v>44579</v>
      </c>
      <c r="B293" s="14" t="str">
        <f>IF(Raw_data!B293="",NA(),Raw_data!B293)</f>
        <v>Eye Drops</v>
      </c>
      <c r="C293" s="14" t="str">
        <f>IF(Raw_data!C293="",NA(),Raw_data!C293)</f>
        <v>Divya Mehra</v>
      </c>
      <c r="D293" s="15">
        <f>IF(Raw_data!D293="",NA(),Raw_data!D293)</f>
        <v>2</v>
      </c>
      <c r="E293" s="16">
        <f>IF(Raw_data!E293="",NA(),Raw_data!E293)</f>
        <v>33.090000000000003</v>
      </c>
      <c r="F293" s="14" t="str">
        <f>IF(Raw_data!F293="",NA(),Raw_data!F293)</f>
        <v>UK</v>
      </c>
      <c r="G293">
        <f t="shared" si="4"/>
        <v>1</v>
      </c>
    </row>
    <row r="294" spans="1:7" x14ac:dyDescent="0.25">
      <c r="A294" s="1">
        <f>IF(Raw_data!A294="",NA(),Raw_data!A294)</f>
        <v>44766</v>
      </c>
      <c r="B294" s="14" t="str">
        <f>IF(Raw_data!B294="",NA(),Raw_data!B294)</f>
        <v>Allergy Pills</v>
      </c>
      <c r="C294" s="14" t="str">
        <f>IF(Raw_data!C294="",NA(),Raw_data!C294)</f>
        <v>Ritika Shah</v>
      </c>
      <c r="D294" s="15">
        <f>IF(Raw_data!D294="",NA(),Raw_data!D294)</f>
        <v>8</v>
      </c>
      <c r="E294" s="16">
        <f>IF(Raw_data!E294="",NA(),Raw_data!E294)</f>
        <v>157.03</v>
      </c>
      <c r="F294" s="14" t="str">
        <f>IF(Raw_data!F294="",NA(),Raw_data!F294)</f>
        <v>India</v>
      </c>
      <c r="G294">
        <f t="shared" si="4"/>
        <v>1</v>
      </c>
    </row>
    <row r="295" spans="1:7" x14ac:dyDescent="0.25">
      <c r="A295" s="1">
        <f>IF(Raw_data!A295="",NA(),Raw_data!A295)</f>
        <v>44768</v>
      </c>
      <c r="B295" s="14" t="str">
        <f>IF(Raw_data!B295="",NA(),Raw_data!B295)</f>
        <v>Antiseptic Cream</v>
      </c>
      <c r="C295" s="14" t="str">
        <f>IF(Raw_data!C295="",NA(),Raw_data!C295)</f>
        <v>Priya Singh</v>
      </c>
      <c r="D295" s="15">
        <f>IF(Raw_data!D295="",NA(),Raw_data!D295)</f>
        <v>1</v>
      </c>
      <c r="E295" s="16">
        <f>IF(Raw_data!E295="",NA(),Raw_data!E295)</f>
        <v>17.670000000000002</v>
      </c>
      <c r="F295" s="14" t="str">
        <f>IF(Raw_data!F295="",NA(),Raw_data!F295)</f>
        <v>India</v>
      </c>
      <c r="G295">
        <f t="shared" si="4"/>
        <v>1</v>
      </c>
    </row>
    <row r="296" spans="1:7" x14ac:dyDescent="0.25">
      <c r="A296" s="1">
        <f>IF(Raw_data!A296="",NA(),Raw_data!A296)</f>
        <v>44715</v>
      </c>
      <c r="B296" s="14" t="str">
        <f>IF(Raw_data!B296="",NA(),Raw_data!B296)</f>
        <v>Cough Syrup</v>
      </c>
      <c r="C296" s="14" t="str">
        <f>IF(Raw_data!C296="",NA(),Raw_data!C296)</f>
        <v>Priya Singh</v>
      </c>
      <c r="D296" s="15">
        <f>IF(Raw_data!D296="",NA(),Raw_data!D296)</f>
        <v>19</v>
      </c>
      <c r="E296" s="16">
        <f>IF(Raw_data!E296="",NA(),Raw_data!E296)</f>
        <v>341.45</v>
      </c>
      <c r="F296" s="14" t="str">
        <f>IF(Raw_data!F296="",NA(),Raw_data!F296)</f>
        <v>UK</v>
      </c>
      <c r="G296">
        <f t="shared" si="4"/>
        <v>1</v>
      </c>
    </row>
    <row r="297" spans="1:7" x14ac:dyDescent="0.25">
      <c r="A297" s="1">
        <f>IF(Raw_data!A297="",NA(),Raw_data!A297)</f>
        <v>44717</v>
      </c>
      <c r="B297" s="14" t="str">
        <f>IF(Raw_data!B297="",NA(),Raw_data!B297)</f>
        <v>Digestive Enzyme</v>
      </c>
      <c r="C297" s="14" t="str">
        <f>IF(Raw_data!C297="",NA(),Raw_data!C297)</f>
        <v>Priya Singh</v>
      </c>
      <c r="D297" s="15">
        <f>IF(Raw_data!D297="",NA(),Raw_data!D297)</f>
        <v>14</v>
      </c>
      <c r="E297" s="16">
        <f>IF(Raw_data!E297="",NA(),Raw_data!E297)</f>
        <v>194.98</v>
      </c>
      <c r="F297" s="14" t="str">
        <f>IF(Raw_data!F297="",NA(),Raw_data!F297)</f>
        <v>India</v>
      </c>
      <c r="G297">
        <f t="shared" si="4"/>
        <v>1</v>
      </c>
    </row>
    <row r="298" spans="1:7" x14ac:dyDescent="0.25">
      <c r="A298" s="1">
        <f>IF(Raw_data!A298="",NA(),Raw_data!A298)</f>
        <v>44785</v>
      </c>
      <c r="B298" s="14" t="str">
        <f>IF(Raw_data!B298="",NA(),Raw_data!B298)</f>
        <v>Pain Relief Tablets</v>
      </c>
      <c r="C298" s="14" t="str">
        <f>IF(Raw_data!C298="",NA(),Raw_data!C298)</f>
        <v>Ritika Shah</v>
      </c>
      <c r="D298" s="15">
        <f>IF(Raw_data!D298="",NA(),Raw_data!D298)</f>
        <v>8</v>
      </c>
      <c r="E298" s="16">
        <f>IF(Raw_data!E298="",NA(),Raw_data!E298)</f>
        <v>78.790000000000006</v>
      </c>
      <c r="F298" s="14" t="str">
        <f>IF(Raw_data!F298="",NA(),Raw_data!F298)</f>
        <v>Australia</v>
      </c>
      <c r="G298">
        <f t="shared" si="4"/>
        <v>1</v>
      </c>
    </row>
    <row r="299" spans="1:7" x14ac:dyDescent="0.25">
      <c r="A299" s="1">
        <f>IF(Raw_data!A299="",NA(),Raw_data!A299)</f>
        <v>44728</v>
      </c>
      <c r="B299" s="14" t="str">
        <f>IF(Raw_data!B299="",NA(),Raw_data!B299)</f>
        <v>Digestive Enzyme</v>
      </c>
      <c r="C299" s="14" t="str">
        <f>IF(Raw_data!C299="",NA(),Raw_data!C299)</f>
        <v>Divya Mehra</v>
      </c>
      <c r="D299" s="15">
        <f>IF(Raw_data!D299="",NA(),Raw_data!D299)</f>
        <v>14</v>
      </c>
      <c r="E299" s="16">
        <f>IF(Raw_data!E299="",NA(),Raw_data!E299)</f>
        <v>131.03</v>
      </c>
      <c r="F299" s="14" t="str">
        <f>IF(Raw_data!F299="",NA(),Raw_data!F299)</f>
        <v>India</v>
      </c>
      <c r="G299">
        <f t="shared" si="4"/>
        <v>1</v>
      </c>
    </row>
    <row r="300" spans="1:7" x14ac:dyDescent="0.25">
      <c r="A300" s="1">
        <f>IF(Raw_data!A300="",NA(),Raw_data!A300)</f>
        <v>44588</v>
      </c>
      <c r="B300" s="14" t="str">
        <f>IF(Raw_data!B300="",NA(),Raw_data!B300)</f>
        <v>Nasal Spray</v>
      </c>
      <c r="C300" s="14" t="str">
        <f>IF(Raw_data!C300="",NA(),Raw_data!C300)</f>
        <v>Aman Verma</v>
      </c>
      <c r="D300" s="15">
        <f>IF(Raw_data!D300="",NA(),Raw_data!D300)</f>
        <v>2</v>
      </c>
      <c r="E300" s="16">
        <f>IF(Raw_data!E300="",NA(),Raw_data!E300)</f>
        <v>33.67</v>
      </c>
      <c r="F300" s="14" t="str">
        <f>IF(Raw_data!F300="",NA(),Raw_data!F300)</f>
        <v>Canada</v>
      </c>
      <c r="G300">
        <f t="shared" si="4"/>
        <v>1</v>
      </c>
    </row>
    <row r="301" spans="1:7" x14ac:dyDescent="0.25">
      <c r="A301" s="1">
        <f>IF(Raw_data!A301="",NA(),Raw_data!A301)</f>
        <v>44716</v>
      </c>
      <c r="B301" s="14" t="str">
        <f>IF(Raw_data!B301="",NA(),Raw_data!B301)</f>
        <v>Cough Syrup</v>
      </c>
      <c r="C301" s="14" t="str">
        <f>IF(Raw_data!C301="",NA(),Raw_data!C301)</f>
        <v>Priya Singh</v>
      </c>
      <c r="D301" s="15">
        <f>IF(Raw_data!D301="",NA(),Raw_data!D301)</f>
        <v>5</v>
      </c>
      <c r="E301" s="16">
        <f>IF(Raw_data!E301="",NA(),Raw_data!E301)</f>
        <v>41.09</v>
      </c>
      <c r="F301" s="14" t="str">
        <f>IF(Raw_data!F301="",NA(),Raw_data!F301)</f>
        <v>Australia</v>
      </c>
      <c r="G301">
        <f t="shared" si="4"/>
        <v>1</v>
      </c>
    </row>
    <row r="302" spans="1:7" x14ac:dyDescent="0.25">
      <c r="A302" s="1">
        <f>IF(Raw_data!A302="",NA(),Raw_data!A302)</f>
        <v>44735</v>
      </c>
      <c r="B302" s="14" t="str">
        <f>IF(Raw_data!B302="",NA(),Raw_data!B302)</f>
        <v>Pain Relief Tablets</v>
      </c>
      <c r="C302" s="14" t="str">
        <f>IF(Raw_data!C302="",NA(),Raw_data!C302)</f>
        <v>Ritika Shah</v>
      </c>
      <c r="D302" s="15">
        <f>IF(Raw_data!D302="",NA(),Raw_data!D302)</f>
        <v>1</v>
      </c>
      <c r="E302" s="16">
        <f>IF(Raw_data!E302="",NA(),Raw_data!E302)</f>
        <v>17.39</v>
      </c>
      <c r="F302" s="14" t="str">
        <f>IF(Raw_data!F302="",NA(),Raw_data!F302)</f>
        <v>Canada</v>
      </c>
      <c r="G302">
        <f t="shared" si="4"/>
        <v>1</v>
      </c>
    </row>
    <row r="303" spans="1:7" x14ac:dyDescent="0.25">
      <c r="A303" s="1">
        <f>IF(Raw_data!A303="",NA(),Raw_data!A303)</f>
        <v>44756</v>
      </c>
      <c r="B303" s="14" t="str">
        <f>IF(Raw_data!B303="",NA(),Raw_data!B303)</f>
        <v>Antiseptic Cream</v>
      </c>
      <c r="C303" s="14" t="str">
        <f>IF(Raw_data!C303="",NA(),Raw_data!C303)</f>
        <v>Rajesh Patel</v>
      </c>
      <c r="D303" s="15">
        <f>IF(Raw_data!D303="",NA(),Raw_data!D303)</f>
        <v>18</v>
      </c>
      <c r="E303" s="16">
        <f>IF(Raw_data!E303="",NA(),Raw_data!E303)</f>
        <v>364.2</v>
      </c>
      <c r="F303" s="14" t="str">
        <f>IF(Raw_data!F303="",NA(),Raw_data!F303)</f>
        <v>India</v>
      </c>
      <c r="G303">
        <f t="shared" si="4"/>
        <v>1</v>
      </c>
    </row>
    <row r="304" spans="1:7" x14ac:dyDescent="0.25">
      <c r="A304" s="1">
        <f>IF(Raw_data!A304="",NA(),Raw_data!A304)</f>
        <v>44583</v>
      </c>
      <c r="B304" s="14" t="str">
        <f>IF(Raw_data!B304="",NA(),Raw_data!B304)</f>
        <v>Digestive Enzyme</v>
      </c>
      <c r="C304" s="14" t="str">
        <f>IF(Raw_data!C304="",NA(),Raw_data!C304)</f>
        <v>Divya Mehra</v>
      </c>
      <c r="D304" s="15">
        <f>IF(Raw_data!D304="",NA(),Raw_data!D304)</f>
        <v>6</v>
      </c>
      <c r="E304" s="16">
        <f>IF(Raw_data!E304="",NA(),Raw_data!E304)</f>
        <v>68.209999999999994</v>
      </c>
      <c r="F304" s="14" t="str">
        <f>IF(Raw_data!F304="",NA(),Raw_data!F304)</f>
        <v>UK</v>
      </c>
      <c r="G304">
        <f t="shared" si="4"/>
        <v>1</v>
      </c>
    </row>
    <row r="305" spans="1:7" x14ac:dyDescent="0.25">
      <c r="A305" s="1">
        <f>IF(Raw_data!A305="",NA(),Raw_data!A305)</f>
        <v>44764</v>
      </c>
      <c r="B305" s="14" t="str">
        <f>IF(Raw_data!B305="",NA(),Raw_data!B305)</f>
        <v>Digestive Enzyme</v>
      </c>
      <c r="C305" s="14" t="str">
        <f>IF(Raw_data!C305="",NA(),Raw_data!C305)</f>
        <v>Sneha Iyer</v>
      </c>
      <c r="D305" s="15">
        <f>IF(Raw_data!D305="",NA(),Raw_data!D305)</f>
        <v>20</v>
      </c>
      <c r="E305" s="16">
        <f>IF(Raw_data!E305="",NA(),Raw_data!E305)</f>
        <v>479.93</v>
      </c>
      <c r="F305" s="14" t="str">
        <f>IF(Raw_data!F305="",NA(),Raw_data!F305)</f>
        <v>Canada</v>
      </c>
      <c r="G305">
        <f t="shared" si="4"/>
        <v>1</v>
      </c>
    </row>
    <row r="306" spans="1:7" x14ac:dyDescent="0.25">
      <c r="A306" s="1">
        <f>IF(Raw_data!A306="",NA(),Raw_data!A306)</f>
        <v>44697</v>
      </c>
      <c r="B306" s="14" t="str">
        <f>IF(Raw_data!B306="",NA(),Raw_data!B306)</f>
        <v>Allergy Pills</v>
      </c>
      <c r="C306" s="14" t="str">
        <f>IF(Raw_data!C306="",NA(),Raw_data!C306)</f>
        <v>Priya Singh</v>
      </c>
      <c r="D306" s="15">
        <f>IF(Raw_data!D306="",NA(),Raw_data!D306)</f>
        <v>6</v>
      </c>
      <c r="E306" s="16">
        <f>IF(Raw_data!E306="",NA(),Raw_data!E306)</f>
        <v>136.59</v>
      </c>
      <c r="F306" s="14" t="str">
        <f>IF(Raw_data!F306="",NA(),Raw_data!F306)</f>
        <v>UK</v>
      </c>
      <c r="G306">
        <f t="shared" si="4"/>
        <v>1</v>
      </c>
    </row>
    <row r="307" spans="1:7" x14ac:dyDescent="0.25">
      <c r="A307" s="1">
        <f>IF(Raw_data!A307="",NA(),Raw_data!A307)</f>
        <v>44799</v>
      </c>
      <c r="B307" s="14" t="str">
        <f>IF(Raw_data!B307="",NA(),Raw_data!B307)</f>
        <v>Eye Drops</v>
      </c>
      <c r="C307" s="14" t="str">
        <f>IF(Raw_data!C307="",NA(),Raw_data!C307)</f>
        <v>Rajesh Patel</v>
      </c>
      <c r="D307" s="15">
        <f>IF(Raw_data!D307="",NA(),Raw_data!D307)</f>
        <v>2</v>
      </c>
      <c r="E307" s="16">
        <f>IF(Raw_data!E307="",NA(),Raw_data!E307)</f>
        <v>45.31</v>
      </c>
      <c r="F307" s="14" t="str">
        <f>IF(Raw_data!F307="",NA(),Raw_data!F307)</f>
        <v>USA</v>
      </c>
      <c r="G307">
        <f t="shared" si="4"/>
        <v>1</v>
      </c>
    </row>
    <row r="308" spans="1:7" x14ac:dyDescent="0.25">
      <c r="A308" s="1">
        <f>IF(Raw_data!A308="",NA(),Raw_data!A308)</f>
        <v>44629</v>
      </c>
      <c r="B308" s="14" t="str">
        <f>IF(Raw_data!B308="",NA(),Raw_data!B308)</f>
        <v>Antiseptic Cream</v>
      </c>
      <c r="C308" s="14" t="str">
        <f>IF(Raw_data!C308="",NA(),Raw_data!C308)</f>
        <v>Rajesh Patel</v>
      </c>
      <c r="D308" s="15">
        <f>IF(Raw_data!D308="",NA(),Raw_data!D308)</f>
        <v>11</v>
      </c>
      <c r="E308" s="16">
        <f>IF(Raw_data!E308="",NA(),Raw_data!E308)</f>
        <v>246.17</v>
      </c>
      <c r="F308" s="14" t="str">
        <f>IF(Raw_data!F308="",NA(),Raw_data!F308)</f>
        <v>Canada</v>
      </c>
      <c r="G308">
        <f t="shared" si="4"/>
        <v>1</v>
      </c>
    </row>
    <row r="309" spans="1:7" x14ac:dyDescent="0.25">
      <c r="A309" s="1">
        <f>IF(Raw_data!A309="",NA(),Raw_data!A309)</f>
        <v>44574</v>
      </c>
      <c r="B309" s="14" t="str">
        <f>IF(Raw_data!B309="",NA(),Raw_data!B309)</f>
        <v>Digestive Enzyme</v>
      </c>
      <c r="C309" s="14" t="str">
        <f>IF(Raw_data!C309="",NA(),Raw_data!C309)</f>
        <v>Ritika Shah</v>
      </c>
      <c r="D309" s="15">
        <f>IF(Raw_data!D309="",NA(),Raw_data!D309)</f>
        <v>15</v>
      </c>
      <c r="E309" s="16">
        <f>IF(Raw_data!E309="",NA(),Raw_data!E309)</f>
        <v>362.44</v>
      </c>
      <c r="F309" s="14" t="str">
        <f>IF(Raw_data!F309="",NA(),Raw_data!F309)</f>
        <v>Canada</v>
      </c>
      <c r="G309">
        <f t="shared" si="4"/>
        <v>1</v>
      </c>
    </row>
    <row r="310" spans="1:7" x14ac:dyDescent="0.25">
      <c r="A310" s="1">
        <f>IF(Raw_data!A310="",NA(),Raw_data!A310)</f>
        <v>44620</v>
      </c>
      <c r="B310" s="14" t="str">
        <f>IF(Raw_data!B310="",NA(),Raw_data!B310)</f>
        <v>Digestive Enzyme</v>
      </c>
      <c r="C310" s="14" t="str">
        <f>IF(Raw_data!C310="",NA(),Raw_data!C310)</f>
        <v>Divya Mehra</v>
      </c>
      <c r="D310" s="15">
        <f>IF(Raw_data!D310="",NA(),Raw_data!D310)</f>
        <v>7</v>
      </c>
      <c r="E310" s="16">
        <f>IF(Raw_data!E310="",NA(),Raw_data!E310)</f>
        <v>133.38</v>
      </c>
      <c r="F310" s="14" t="str">
        <f>IF(Raw_data!F310="",NA(),Raw_data!F310)</f>
        <v>UK</v>
      </c>
      <c r="G310">
        <f t="shared" si="4"/>
        <v>1</v>
      </c>
    </row>
    <row r="311" spans="1:7" x14ac:dyDescent="0.25">
      <c r="A311" s="1">
        <f>IF(Raw_data!A311="",NA(),Raw_data!A311)</f>
        <v>44678</v>
      </c>
      <c r="B311" s="14" t="str">
        <f>IF(Raw_data!B311="",NA(),Raw_data!B311)</f>
        <v>Eye Drops</v>
      </c>
      <c r="C311" s="14" t="str">
        <f>IF(Raw_data!C311="",NA(),Raw_data!C311)</f>
        <v>Aman Verma</v>
      </c>
      <c r="D311" s="15">
        <f>IF(Raw_data!D311="",NA(),Raw_data!D311)</f>
        <v>1</v>
      </c>
      <c r="E311" s="16">
        <f>IF(Raw_data!E311="",NA(),Raw_data!E311)</f>
        <v>16.87</v>
      </c>
      <c r="F311" s="14" t="str">
        <f>IF(Raw_data!F311="",NA(),Raw_data!F311)</f>
        <v>Canada</v>
      </c>
      <c r="G311">
        <f t="shared" si="4"/>
        <v>1</v>
      </c>
    </row>
    <row r="312" spans="1:7" x14ac:dyDescent="0.25">
      <c r="A312" s="1">
        <f>IF(Raw_data!A312="",NA(),Raw_data!A312)</f>
        <v>44595</v>
      </c>
      <c r="B312" s="14" t="str">
        <f>IF(Raw_data!B312="",NA(),Raw_data!B312)</f>
        <v>Nasal Spray</v>
      </c>
      <c r="C312" s="14" t="str">
        <f>IF(Raw_data!C312="",NA(),Raw_data!C312)</f>
        <v>Divya Mehra</v>
      </c>
      <c r="D312" s="15">
        <f>IF(Raw_data!D312="",NA(),Raw_data!D312)</f>
        <v>15</v>
      </c>
      <c r="E312" s="16">
        <f>IF(Raw_data!E312="",NA(),Raw_data!E312)</f>
        <v>191.54</v>
      </c>
      <c r="F312" s="14" t="str">
        <f>IF(Raw_data!F312="",NA(),Raw_data!F312)</f>
        <v>Canada</v>
      </c>
      <c r="G312">
        <f t="shared" si="4"/>
        <v>1</v>
      </c>
    </row>
    <row r="313" spans="1:7" x14ac:dyDescent="0.25">
      <c r="A313" s="1">
        <f>IF(Raw_data!A313="",NA(),Raw_data!A313)</f>
        <v>44613</v>
      </c>
      <c r="B313" s="14" t="str">
        <f>IF(Raw_data!B313="",NA(),Raw_data!B313)</f>
        <v>Antiseptic Cream</v>
      </c>
      <c r="C313" s="14" t="str">
        <f>IF(Raw_data!C313="",NA(),Raw_data!C313)</f>
        <v>Nikhil Batra</v>
      </c>
      <c r="D313" s="15">
        <f>IF(Raw_data!D313="",NA(),Raw_data!D313)</f>
        <v>2</v>
      </c>
      <c r="E313" s="16">
        <f>IF(Raw_data!E313="",NA(),Raw_data!E313)</f>
        <v>26.91</v>
      </c>
      <c r="F313" s="14" t="str">
        <f>IF(Raw_data!F313="",NA(),Raw_data!F313)</f>
        <v>India</v>
      </c>
      <c r="G313">
        <f t="shared" si="4"/>
        <v>1</v>
      </c>
    </row>
    <row r="314" spans="1:7" x14ac:dyDescent="0.25">
      <c r="A314" s="1">
        <f>IF(Raw_data!A314="",NA(),Raw_data!A314)</f>
        <v>44777</v>
      </c>
      <c r="B314" s="14" t="str">
        <f>IF(Raw_data!B314="",NA(),Raw_data!B314)</f>
        <v>Digestive Enzyme</v>
      </c>
      <c r="C314" s="14" t="str">
        <f>IF(Raw_data!C314="",NA(),Raw_data!C314)</f>
        <v>Priya Singh</v>
      </c>
      <c r="D314" s="15">
        <f>IF(Raw_data!D314="",NA(),Raw_data!D314)</f>
        <v>3</v>
      </c>
      <c r="E314" s="16">
        <f>IF(Raw_data!E314="",NA(),Raw_data!E314)</f>
        <v>59.95</v>
      </c>
      <c r="F314" s="14" t="str">
        <f>IF(Raw_data!F314="",NA(),Raw_data!F314)</f>
        <v>UK</v>
      </c>
      <c r="G314">
        <f t="shared" si="4"/>
        <v>1</v>
      </c>
    </row>
    <row r="315" spans="1:7" x14ac:dyDescent="0.25">
      <c r="A315" s="1">
        <f>IF(Raw_data!A315="",NA(),Raw_data!A315)</f>
        <v>44678</v>
      </c>
      <c r="B315" s="14" t="str">
        <f>IF(Raw_data!B315="",NA(),Raw_data!B315)</f>
        <v>Eye Drops</v>
      </c>
      <c r="C315" s="14" t="str">
        <f>IF(Raw_data!C315="",NA(),Raw_data!C315)</f>
        <v>Nikhil Batra</v>
      </c>
      <c r="D315" s="15">
        <f>IF(Raw_data!D315="",NA(),Raw_data!D315)</f>
        <v>14</v>
      </c>
      <c r="E315" s="16">
        <f>IF(Raw_data!E315="",NA(),Raw_data!E315)</f>
        <v>183.32</v>
      </c>
      <c r="F315" s="14" t="str">
        <f>IF(Raw_data!F315="",NA(),Raw_data!F315)</f>
        <v>India</v>
      </c>
      <c r="G315">
        <f t="shared" si="4"/>
        <v>1</v>
      </c>
    </row>
    <row r="316" spans="1:7" x14ac:dyDescent="0.25">
      <c r="A316" s="1">
        <f>IF(Raw_data!A316="",NA(),Raw_data!A316)</f>
        <v>44605</v>
      </c>
      <c r="B316" s="14" t="str">
        <f>IF(Raw_data!B316="",NA(),Raw_data!B316)</f>
        <v>Nasal Spray</v>
      </c>
      <c r="C316" s="14" t="str">
        <f>IF(Raw_data!C316="",NA(),Raw_data!C316)</f>
        <v>Sneha Iyer</v>
      </c>
      <c r="D316" s="15">
        <f>IF(Raw_data!D316="",NA(),Raw_data!D316)</f>
        <v>15</v>
      </c>
      <c r="E316" s="16">
        <f>IF(Raw_data!E316="",NA(),Raw_data!E316)</f>
        <v>321.39999999999998</v>
      </c>
      <c r="F316" s="14" t="str">
        <f>IF(Raw_data!F316="",NA(),Raw_data!F316)</f>
        <v>UK</v>
      </c>
      <c r="G316">
        <f t="shared" si="4"/>
        <v>1</v>
      </c>
    </row>
    <row r="317" spans="1:7" x14ac:dyDescent="0.25">
      <c r="A317" s="1">
        <f>IF(Raw_data!A317="",NA(),Raw_data!A317)</f>
        <v>44643</v>
      </c>
      <c r="B317" s="14" t="str">
        <f>IF(Raw_data!B317="",NA(),Raw_data!B317)</f>
        <v>Eye Drops</v>
      </c>
      <c r="C317" s="14" t="str">
        <f>IF(Raw_data!C317="",NA(),Raw_data!C317)</f>
        <v>Rajesh Patel</v>
      </c>
      <c r="D317" s="15">
        <f>IF(Raw_data!D317="",NA(),Raw_data!D317)</f>
        <v>2</v>
      </c>
      <c r="E317" s="16">
        <f>IF(Raw_data!E317="",NA(),Raw_data!E317)</f>
        <v>31.15</v>
      </c>
      <c r="F317" s="14" t="str">
        <f>IF(Raw_data!F317="",NA(),Raw_data!F317)</f>
        <v>USA</v>
      </c>
      <c r="G317">
        <f t="shared" si="4"/>
        <v>1</v>
      </c>
    </row>
    <row r="318" spans="1:7" x14ac:dyDescent="0.25">
      <c r="A318" s="1">
        <f>IF(Raw_data!A318="",NA(),Raw_data!A318)</f>
        <v>44687</v>
      </c>
      <c r="B318" s="14" t="str">
        <f>IF(Raw_data!B318="",NA(),Raw_data!B318)</f>
        <v>Nasal Spray</v>
      </c>
      <c r="C318" s="14" t="str">
        <f>IF(Raw_data!C318="",NA(),Raw_data!C318)</f>
        <v>Rajesh Patel</v>
      </c>
      <c r="D318" s="15">
        <f>IF(Raw_data!D318="",NA(),Raw_data!D318)</f>
        <v>8</v>
      </c>
      <c r="E318" s="16">
        <f>IF(Raw_data!E318="",NA(),Raw_data!E318)</f>
        <v>89.9</v>
      </c>
      <c r="F318" s="14" t="str">
        <f>IF(Raw_data!F318="",NA(),Raw_data!F318)</f>
        <v>India</v>
      </c>
      <c r="G318">
        <f t="shared" si="4"/>
        <v>1</v>
      </c>
    </row>
    <row r="319" spans="1:7" x14ac:dyDescent="0.25">
      <c r="A319" s="1">
        <f>IF(Raw_data!A319="",NA(),Raw_data!A319)</f>
        <v>44676</v>
      </c>
      <c r="B319" s="14" t="str">
        <f>IF(Raw_data!B319="",NA(),Raw_data!B319)</f>
        <v>Antiseptic Cream</v>
      </c>
      <c r="C319" s="14" t="str">
        <f>IF(Raw_data!C319="",NA(),Raw_data!C319)</f>
        <v>Sneha Iyer</v>
      </c>
      <c r="D319" s="15">
        <f>IF(Raw_data!D319="",NA(),Raw_data!D319)</f>
        <v>5</v>
      </c>
      <c r="E319" s="16">
        <f>IF(Raw_data!E319="",NA(),Raw_data!E319)</f>
        <v>64.41</v>
      </c>
      <c r="F319" s="14" t="str">
        <f>IF(Raw_data!F319="",NA(),Raw_data!F319)</f>
        <v>USA</v>
      </c>
      <c r="G319">
        <f t="shared" si="4"/>
        <v>1</v>
      </c>
    </row>
    <row r="320" spans="1:7" x14ac:dyDescent="0.25">
      <c r="A320" s="1">
        <f>IF(Raw_data!A320="",NA(),Raw_data!A320)</f>
        <v>44648</v>
      </c>
      <c r="B320" s="14" t="str">
        <f>IF(Raw_data!B320="",NA(),Raw_data!B320)</f>
        <v>Antiseptic Cream</v>
      </c>
      <c r="C320" s="14" t="str">
        <f>IF(Raw_data!C320="",NA(),Raw_data!C320)</f>
        <v>Divya Mehra</v>
      </c>
      <c r="D320" s="15">
        <f>IF(Raw_data!D320="",NA(),Raw_data!D320)</f>
        <v>20</v>
      </c>
      <c r="E320" s="16">
        <f>IF(Raw_data!E320="",NA(),Raw_data!E320)</f>
        <v>186.45</v>
      </c>
      <c r="F320" s="14" t="str">
        <f>IF(Raw_data!F320="",NA(),Raw_data!F320)</f>
        <v>Australia</v>
      </c>
      <c r="G320">
        <f t="shared" si="4"/>
        <v>1</v>
      </c>
    </row>
    <row r="321" spans="1:7" x14ac:dyDescent="0.25">
      <c r="A321" s="1">
        <f>IF(Raw_data!A321="",NA(),Raw_data!A321)</f>
        <v>44790</v>
      </c>
      <c r="B321" s="14" t="str">
        <f>IF(Raw_data!B321="",NA(),Raw_data!B321)</f>
        <v>Nasal Spray</v>
      </c>
      <c r="C321" s="14" t="str">
        <f>IF(Raw_data!C321="",NA(),Raw_data!C321)</f>
        <v>Rajesh Patel</v>
      </c>
      <c r="D321" s="15">
        <f>IF(Raw_data!D321="",NA(),Raw_data!D321)</f>
        <v>19</v>
      </c>
      <c r="E321" s="16">
        <f>IF(Raw_data!E321="",NA(),Raw_data!E321)</f>
        <v>468.28</v>
      </c>
      <c r="F321" s="14" t="str">
        <f>IF(Raw_data!F321="",NA(),Raw_data!F321)</f>
        <v>Australia</v>
      </c>
      <c r="G321">
        <f t="shared" si="4"/>
        <v>1</v>
      </c>
    </row>
    <row r="322" spans="1:7" x14ac:dyDescent="0.25">
      <c r="A322" s="1">
        <f>IF(Raw_data!A322="",NA(),Raw_data!A322)</f>
        <v>44802</v>
      </c>
      <c r="B322" s="14" t="str">
        <f>IF(Raw_data!B322="",NA(),Raw_data!B322)</f>
        <v>Pain Relief Tablets</v>
      </c>
      <c r="C322" s="14" t="str">
        <f>IF(Raw_data!C322="",NA(),Raw_data!C322)</f>
        <v>Nikhil Batra</v>
      </c>
      <c r="D322" s="15">
        <f>IF(Raw_data!D322="",NA(),Raw_data!D322)</f>
        <v>9</v>
      </c>
      <c r="E322" s="16">
        <f>IF(Raw_data!E322="",NA(),Raw_data!E322)</f>
        <v>188.06</v>
      </c>
      <c r="F322" s="14" t="str">
        <f>IF(Raw_data!F322="",NA(),Raw_data!F322)</f>
        <v>USA</v>
      </c>
      <c r="G322">
        <f t="shared" ref="G322:G334" si="5">COUNTIFS(A:A,A322,B:B,B322,C:C,C322,D:D,D322,E:E,E322,F:F,F322)</f>
        <v>1</v>
      </c>
    </row>
    <row r="323" spans="1:7" x14ac:dyDescent="0.25">
      <c r="A323" s="1">
        <f>IF(Raw_data!A323="",NA(),Raw_data!A323)</f>
        <v>44715</v>
      </c>
      <c r="B323" s="14" t="str">
        <f>IF(Raw_data!B323="",NA(),Raw_data!B323)</f>
        <v>Antiseptic Cream</v>
      </c>
      <c r="C323" s="14" t="str">
        <f>IF(Raw_data!C323="",NA(),Raw_data!C323)</f>
        <v>Divya Mehra</v>
      </c>
      <c r="D323" s="15">
        <f>IF(Raw_data!D323="",NA(),Raw_data!D323)</f>
        <v>4</v>
      </c>
      <c r="E323" s="16">
        <f>IF(Raw_data!E323="",NA(),Raw_data!E323)</f>
        <v>48.71</v>
      </c>
      <c r="F323" s="14" t="str">
        <f>IF(Raw_data!F323="",NA(),Raw_data!F323)</f>
        <v>Canada</v>
      </c>
      <c r="G323">
        <f t="shared" si="5"/>
        <v>1</v>
      </c>
    </row>
    <row r="324" spans="1:7" x14ac:dyDescent="0.25">
      <c r="A324" s="1">
        <f>IF(Raw_data!A324="",NA(),Raw_data!A324)</f>
        <v>44663</v>
      </c>
      <c r="B324" s="14" t="str">
        <f>IF(Raw_data!B324="",NA(),Raw_data!B324)</f>
        <v>Eye Drops</v>
      </c>
      <c r="C324" s="14" t="str">
        <f>IF(Raw_data!C324="",NA(),Raw_data!C324)</f>
        <v>Sneha Iyer</v>
      </c>
      <c r="D324" s="15">
        <f>IF(Raw_data!D324="",NA(),Raw_data!D324)</f>
        <v>18</v>
      </c>
      <c r="E324" s="16">
        <f>IF(Raw_data!E324="",NA(),Raw_data!E324)</f>
        <v>161.49</v>
      </c>
      <c r="F324" s="14" t="str">
        <f>IF(Raw_data!F324="",NA(),Raw_data!F324)</f>
        <v>Australia</v>
      </c>
      <c r="G324">
        <f t="shared" si="5"/>
        <v>1</v>
      </c>
    </row>
    <row r="325" spans="1:7" x14ac:dyDescent="0.25">
      <c r="A325" s="1">
        <f>IF(Raw_data!A325="",NA(),Raw_data!A325)</f>
        <v>44608</v>
      </c>
      <c r="B325" s="14" t="str">
        <f>IF(Raw_data!B325="",NA(),Raw_data!B325)</f>
        <v>Antiseptic Cream</v>
      </c>
      <c r="C325" s="14" t="str">
        <f>IF(Raw_data!C325="",NA(),Raw_data!C325)</f>
        <v>Nikhil Batra</v>
      </c>
      <c r="D325" s="15">
        <f>IF(Raw_data!D325="",NA(),Raw_data!D325)</f>
        <v>5</v>
      </c>
      <c r="E325" s="16">
        <f>IF(Raw_data!E325="",NA(),Raw_data!E325)</f>
        <v>120.28</v>
      </c>
      <c r="F325" s="14" t="str">
        <f>IF(Raw_data!F325="",NA(),Raw_data!F325)</f>
        <v>USA</v>
      </c>
      <c r="G325">
        <f t="shared" si="5"/>
        <v>1</v>
      </c>
    </row>
    <row r="326" spans="1:7" x14ac:dyDescent="0.25">
      <c r="A326" s="1">
        <f>IF(Raw_data!A326="",NA(),Raw_data!A326)</f>
        <v>44568</v>
      </c>
      <c r="B326" s="14" t="str">
        <f>IF(Raw_data!B326="",NA(),Raw_data!B326)</f>
        <v>Antiseptic Cream</v>
      </c>
      <c r="C326" s="14" t="str">
        <f>IF(Raw_data!C326="",NA(),Raw_data!C326)</f>
        <v>Sneha Iyer</v>
      </c>
      <c r="D326" s="15">
        <f>IF(Raw_data!D326="",NA(),Raw_data!D326)</f>
        <v>8</v>
      </c>
      <c r="E326" s="16">
        <f>IF(Raw_data!E326="",NA(),Raw_data!E326)</f>
        <v>149.88999999999999</v>
      </c>
      <c r="F326" s="14" t="str">
        <f>IF(Raw_data!F326="",NA(),Raw_data!F326)</f>
        <v>Canada</v>
      </c>
      <c r="G326">
        <f t="shared" si="5"/>
        <v>1</v>
      </c>
    </row>
    <row r="327" spans="1:7" x14ac:dyDescent="0.25">
      <c r="A327" s="1">
        <f>IF(Raw_data!A327="",NA(),Raw_data!A327)</f>
        <v>44779</v>
      </c>
      <c r="B327" s="14" t="str">
        <f>IF(Raw_data!B327="",NA(),Raw_data!B327)</f>
        <v>Nasal Spray</v>
      </c>
      <c r="C327" s="14" t="str">
        <f>IF(Raw_data!C327="",NA(),Raw_data!C327)</f>
        <v>Rajesh Patel</v>
      </c>
      <c r="D327" s="15">
        <f>IF(Raw_data!D327="",NA(),Raw_data!D327)</f>
        <v>9</v>
      </c>
      <c r="E327" s="16">
        <f>IF(Raw_data!E327="",NA(),Raw_data!E327)</f>
        <v>128.33000000000001</v>
      </c>
      <c r="F327" s="14" t="str">
        <f>IF(Raw_data!F327="",NA(),Raw_data!F327)</f>
        <v>Australia</v>
      </c>
      <c r="G327">
        <f t="shared" si="5"/>
        <v>1</v>
      </c>
    </row>
    <row r="328" spans="1:7" x14ac:dyDescent="0.25">
      <c r="A328" s="1">
        <f>IF(Raw_data!A328="",NA(),Raw_data!A328)</f>
        <v>44765</v>
      </c>
      <c r="B328" s="14" t="str">
        <f>IF(Raw_data!B328="",NA(),Raw_data!B328)</f>
        <v>Antiseptic Cream</v>
      </c>
      <c r="C328" s="14" t="str">
        <f>IF(Raw_data!C328="",NA(),Raw_data!C328)</f>
        <v>Nikhil Batra</v>
      </c>
      <c r="D328" s="15">
        <f>IF(Raw_data!D328="",NA(),Raw_data!D328)</f>
        <v>4</v>
      </c>
      <c r="E328" s="16">
        <f>IF(Raw_data!E328="",NA(),Raw_data!E328)</f>
        <v>73.27</v>
      </c>
      <c r="F328" s="14" t="str">
        <f>IF(Raw_data!F328="",NA(),Raw_data!F328)</f>
        <v>USA</v>
      </c>
      <c r="G328">
        <f t="shared" si="5"/>
        <v>1</v>
      </c>
    </row>
    <row r="329" spans="1:7" x14ac:dyDescent="0.25">
      <c r="A329" s="1">
        <f>IF(Raw_data!A329="",NA(),Raw_data!A329)</f>
        <v>44774</v>
      </c>
      <c r="B329" s="14" t="str">
        <f>IF(Raw_data!B329="",NA(),Raw_data!B329)</f>
        <v>Digestive Enzyme</v>
      </c>
      <c r="C329" s="14" t="str">
        <f>IF(Raw_data!C329="",NA(),Raw_data!C329)</f>
        <v>Priya Singh</v>
      </c>
      <c r="D329" s="15">
        <f>IF(Raw_data!D329="",NA(),Raw_data!D329)</f>
        <v>5</v>
      </c>
      <c r="E329" s="16">
        <f>IF(Raw_data!E329="",NA(),Raw_data!E329)</f>
        <v>103.86</v>
      </c>
      <c r="F329" s="14" t="str">
        <f>IF(Raw_data!F329="",NA(),Raw_data!F329)</f>
        <v>India</v>
      </c>
      <c r="G329">
        <f t="shared" si="5"/>
        <v>1</v>
      </c>
    </row>
    <row r="330" spans="1:7" x14ac:dyDescent="0.25">
      <c r="A330" s="1">
        <f>IF(Raw_data!A330="",NA(),Raw_data!A330)</f>
        <v>44600</v>
      </c>
      <c r="B330" s="14" t="str">
        <f>IF(Raw_data!B330="",NA(),Raw_data!B330)</f>
        <v>Digestive Enzyme</v>
      </c>
      <c r="C330" s="14" t="str">
        <f>IF(Raw_data!C330="",NA(),Raw_data!C330)</f>
        <v>Sneha Iyer</v>
      </c>
      <c r="D330" s="15">
        <f>IF(Raw_data!D330="",NA(),Raw_data!D330)</f>
        <v>15</v>
      </c>
      <c r="E330" s="16">
        <f>IF(Raw_data!E330="",NA(),Raw_data!E330)</f>
        <v>302.45999999999998</v>
      </c>
      <c r="F330" s="14" t="str">
        <f>IF(Raw_data!F330="",NA(),Raw_data!F330)</f>
        <v>UK</v>
      </c>
      <c r="G330">
        <f t="shared" si="5"/>
        <v>1</v>
      </c>
    </row>
    <row r="331" spans="1:7" x14ac:dyDescent="0.25">
      <c r="A331" s="1">
        <f>IF(Raw_data!A331="",NA(),Raw_data!A331)</f>
        <v>44801</v>
      </c>
      <c r="B331" s="14" t="str">
        <f>IF(Raw_data!B331="",NA(),Raw_data!B331)</f>
        <v>Allergy Pills</v>
      </c>
      <c r="C331" s="14" t="str">
        <f>IF(Raw_data!C331="",NA(),Raw_data!C331)</f>
        <v>Aman Verma</v>
      </c>
      <c r="D331" s="15">
        <f>IF(Raw_data!D331="",NA(),Raw_data!D331)</f>
        <v>3</v>
      </c>
      <c r="E331" s="16">
        <f>IF(Raw_data!E331="",NA(),Raw_data!E331)</f>
        <v>52.5</v>
      </c>
      <c r="F331" s="14" t="str">
        <f>IF(Raw_data!F331="",NA(),Raw_data!F331)</f>
        <v>India</v>
      </c>
      <c r="G331">
        <f t="shared" si="5"/>
        <v>1</v>
      </c>
    </row>
    <row r="332" spans="1:7" x14ac:dyDescent="0.25">
      <c r="A332" s="1">
        <f>IF(Raw_data!A332="",NA(),Raw_data!A332)</f>
        <v>44668</v>
      </c>
      <c r="B332" s="14" t="str">
        <f>IF(Raw_data!B332="",NA(),Raw_data!B332)</f>
        <v>Nasal Spray</v>
      </c>
      <c r="C332" s="14" t="str">
        <f>IF(Raw_data!C332="",NA(),Raw_data!C332)</f>
        <v>Divya Mehra</v>
      </c>
      <c r="D332" s="15">
        <f>IF(Raw_data!D332="",NA(),Raw_data!D332)</f>
        <v>5</v>
      </c>
      <c r="E332" s="16">
        <f>IF(Raw_data!E332="",NA(),Raw_data!E332)</f>
        <v>65.67</v>
      </c>
      <c r="F332" s="14" t="str">
        <f>IF(Raw_data!F332="",NA(),Raw_data!F332)</f>
        <v>UK</v>
      </c>
      <c r="G332">
        <f t="shared" si="5"/>
        <v>1</v>
      </c>
    </row>
    <row r="333" spans="1:7" x14ac:dyDescent="0.25">
      <c r="A333" s="1">
        <f>IF(Raw_data!A333="",NA(),Raw_data!A333)</f>
        <v>44566</v>
      </c>
      <c r="B333" s="14" t="str">
        <f>IF(Raw_data!B333="",NA(),Raw_data!B333)</f>
        <v>Eye Drops</v>
      </c>
      <c r="C333" s="14" t="str">
        <f>IF(Raw_data!C333="",NA(),Raw_data!C333)</f>
        <v>Aman Verma</v>
      </c>
      <c r="D333" s="15">
        <f>IF(Raw_data!D333="",NA(),Raw_data!D333)</f>
        <v>17</v>
      </c>
      <c r="E333" s="16">
        <f>IF(Raw_data!E333="",NA(),Raw_data!E333)</f>
        <v>247.43</v>
      </c>
      <c r="F333" s="14" t="str">
        <f>IF(Raw_data!F333="",NA(),Raw_data!F333)</f>
        <v>USA</v>
      </c>
      <c r="G333">
        <f t="shared" si="5"/>
        <v>1</v>
      </c>
    </row>
    <row r="334" spans="1:7" x14ac:dyDescent="0.25">
      <c r="A334" s="1">
        <f>IF(Raw_data!A334="",NA(),Raw_data!A334)</f>
        <v>44784</v>
      </c>
      <c r="B334" s="14" t="str">
        <f>IF(Raw_data!B334="",NA(),Raw_data!B334)</f>
        <v>Digestive Enzyme</v>
      </c>
      <c r="C334" s="14" t="str">
        <f>IF(Raw_data!C334="",NA(),Raw_data!C334)</f>
        <v>Rajesh Patel</v>
      </c>
      <c r="D334" s="15">
        <f>IF(Raw_data!D334="",NA(),Raw_data!D334)</f>
        <v>3</v>
      </c>
      <c r="E334" s="16">
        <f>IF(Raw_data!E334="",NA(),Raw_data!E334)</f>
        <v>65.98</v>
      </c>
      <c r="F334" s="14" t="str">
        <f>IF(Raw_data!F334="",NA(),Raw_data!F334)</f>
        <v>UK</v>
      </c>
      <c r="G334">
        <f t="shared" si="5"/>
        <v>1</v>
      </c>
    </row>
  </sheetData>
  <pageMargins left="0.7" right="0.7" top="0.75" bottom="0.75" header="0.3" footer="0.3"/>
  <tableParts count="3">
    <tablePart r:id="rId1"/>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3DC41-F72E-4F7C-94F9-0A28008C543F}">
  <dimension ref="A3:Q222"/>
  <sheetViews>
    <sheetView workbookViewId="0"/>
  </sheetViews>
  <sheetFormatPr defaultRowHeight="15" x14ac:dyDescent="0.25"/>
  <cols>
    <col min="1" max="1" width="20.85546875" customWidth="1"/>
    <col min="2" max="2" width="13.42578125" customWidth="1"/>
    <col min="3" max="3" width="7" customWidth="1"/>
    <col min="4" max="4" width="14.42578125" bestFit="1" customWidth="1"/>
    <col min="5" max="5" width="9.140625" bestFit="1" customWidth="1"/>
    <col min="6" max="6" width="5.7109375" customWidth="1"/>
    <col min="7" max="7" width="11.42578125" bestFit="1" customWidth="1"/>
    <col min="8" max="8" width="11.5703125" bestFit="1" customWidth="1"/>
    <col min="9" max="9" width="6.5703125" customWidth="1"/>
    <col min="10" max="10" width="21.42578125" bestFit="1" customWidth="1"/>
    <col min="11" max="11" width="13.140625" bestFit="1" customWidth="1"/>
    <col min="12" max="12" width="6.5703125" customWidth="1"/>
    <col min="13" max="13" width="19" customWidth="1"/>
    <col min="14" max="14" width="12.5703125" bestFit="1" customWidth="1"/>
    <col min="15" max="15" width="5.140625" customWidth="1"/>
    <col min="16" max="16" width="12" bestFit="1" customWidth="1"/>
    <col min="17" max="17" width="11.5703125" customWidth="1"/>
    <col min="18" max="18" width="6.5703125" customWidth="1"/>
    <col min="19" max="19" width="17.7109375" bestFit="1" customWidth="1"/>
    <col min="20" max="20" width="21.42578125" bestFit="1" customWidth="1"/>
    <col min="21" max="21" width="11.28515625" bestFit="1" customWidth="1"/>
  </cols>
  <sheetData>
    <row r="3" spans="1:17" x14ac:dyDescent="0.25">
      <c r="A3" s="25" t="s">
        <v>1</v>
      </c>
      <c r="B3" t="s">
        <v>224</v>
      </c>
      <c r="D3" s="25" t="s">
        <v>1</v>
      </c>
      <c r="E3" t="s">
        <v>226</v>
      </c>
      <c r="G3" s="25" t="s">
        <v>26</v>
      </c>
      <c r="H3" t="s">
        <v>251</v>
      </c>
      <c r="J3" s="25" t="s">
        <v>5</v>
      </c>
      <c r="K3" t="s">
        <v>224</v>
      </c>
      <c r="M3" s="25" t="s">
        <v>1</v>
      </c>
      <c r="N3" t="s">
        <v>267</v>
      </c>
      <c r="P3" t="s">
        <v>262</v>
      </c>
      <c r="Q3" t="s">
        <v>31</v>
      </c>
    </row>
    <row r="4" spans="1:17" x14ac:dyDescent="0.25">
      <c r="A4" s="27" t="s">
        <v>15</v>
      </c>
      <c r="B4" s="28">
        <v>11056.61</v>
      </c>
      <c r="D4" s="27" t="s">
        <v>15</v>
      </c>
      <c r="E4" s="28">
        <v>612</v>
      </c>
      <c r="G4" s="29" t="s">
        <v>227</v>
      </c>
      <c r="H4" s="28">
        <v>18</v>
      </c>
      <c r="J4" s="27" t="s">
        <v>8</v>
      </c>
      <c r="K4" s="28">
        <v>9698.3700000000008</v>
      </c>
      <c r="L4" s="28"/>
      <c r="M4" s="27" t="s">
        <v>15</v>
      </c>
      <c r="N4" s="28">
        <v>216.79627450980394</v>
      </c>
      <c r="P4" t="s">
        <v>263</v>
      </c>
      <c r="Q4">
        <f>SUM(Cleanning_data!E2:E334)</f>
        <v>58929.289999999957</v>
      </c>
    </row>
    <row r="5" spans="1:17" x14ac:dyDescent="0.25">
      <c r="A5" s="27" t="s">
        <v>9</v>
      </c>
      <c r="B5" s="28">
        <v>9736.2800000000007</v>
      </c>
      <c r="D5" s="27" t="s">
        <v>9</v>
      </c>
      <c r="E5" s="28">
        <v>573</v>
      </c>
      <c r="G5" s="29" t="s">
        <v>228</v>
      </c>
      <c r="H5" s="28">
        <v>27</v>
      </c>
      <c r="J5" s="31" t="s">
        <v>21</v>
      </c>
      <c r="K5" s="28">
        <v>1249.7799999999997</v>
      </c>
      <c r="L5" s="28"/>
      <c r="M5" s="27" t="s">
        <v>12</v>
      </c>
      <c r="N5" s="28">
        <v>193.09780487804881</v>
      </c>
      <c r="P5" t="s">
        <v>264</v>
      </c>
      <c r="Q5" s="15">
        <f>SUM(Cleanning_data!D2:D334)</f>
        <v>3488</v>
      </c>
    </row>
    <row r="6" spans="1:17" x14ac:dyDescent="0.25">
      <c r="A6" s="27" t="s">
        <v>18</v>
      </c>
      <c r="B6" s="28">
        <v>8407.3599999999988</v>
      </c>
      <c r="D6" s="27" t="s">
        <v>21</v>
      </c>
      <c r="E6" s="28">
        <v>518</v>
      </c>
      <c r="G6" s="29" t="s">
        <v>229</v>
      </c>
      <c r="H6" s="28">
        <v>33</v>
      </c>
      <c r="J6" s="31" t="s">
        <v>9</v>
      </c>
      <c r="K6" s="28">
        <v>1105.1500000000001</v>
      </c>
      <c r="L6" s="28"/>
      <c r="M6" s="27" t="s">
        <v>18</v>
      </c>
      <c r="N6" s="28">
        <v>178.87999999999997</v>
      </c>
      <c r="P6" t="s">
        <v>265</v>
      </c>
      <c r="Q6">
        <f>ROUND(AVERAGE(Cleanning_data!E2:E334),2)</f>
        <v>176.96</v>
      </c>
    </row>
    <row r="7" spans="1:17" x14ac:dyDescent="0.25">
      <c r="A7" s="27" t="s">
        <v>17</v>
      </c>
      <c r="B7" s="28">
        <v>8036.3600000000006</v>
      </c>
      <c r="D7" s="27" t="s">
        <v>18</v>
      </c>
      <c r="E7" s="28">
        <v>489</v>
      </c>
      <c r="G7" s="29" t="s">
        <v>230</v>
      </c>
      <c r="H7" s="28">
        <v>17</v>
      </c>
      <c r="J7" s="31" t="s">
        <v>12</v>
      </c>
      <c r="K7" s="28">
        <v>1344.1899999999998</v>
      </c>
      <c r="L7" s="28"/>
      <c r="M7" s="27" t="s">
        <v>9</v>
      </c>
      <c r="N7" s="28">
        <v>173.86214285714286</v>
      </c>
    </row>
    <row r="8" spans="1:17" x14ac:dyDescent="0.25">
      <c r="A8" s="27" t="s">
        <v>12</v>
      </c>
      <c r="B8" s="28">
        <v>7917.0100000000011</v>
      </c>
      <c r="D8" s="27" t="s">
        <v>12</v>
      </c>
      <c r="E8" s="28">
        <v>484</v>
      </c>
      <c r="G8" s="29" t="s">
        <v>231</v>
      </c>
      <c r="H8" s="28">
        <v>25</v>
      </c>
      <c r="J8" s="31" t="s">
        <v>15</v>
      </c>
      <c r="K8" s="28">
        <v>1427.21</v>
      </c>
      <c r="L8" s="28"/>
      <c r="M8" s="27" t="s">
        <v>17</v>
      </c>
      <c r="N8" s="28">
        <v>164.00734693877553</v>
      </c>
    </row>
    <row r="9" spans="1:17" x14ac:dyDescent="0.25">
      <c r="A9" s="27" t="s">
        <v>21</v>
      </c>
      <c r="B9" s="28">
        <v>7782.5799999999972</v>
      </c>
      <c r="D9" s="27" t="s">
        <v>17</v>
      </c>
      <c r="E9" s="28">
        <v>458</v>
      </c>
      <c r="G9" s="29" t="s">
        <v>232</v>
      </c>
      <c r="H9" s="28">
        <v>13</v>
      </c>
      <c r="J9" s="31" t="s">
        <v>17</v>
      </c>
      <c r="K9" s="28">
        <v>1301.97</v>
      </c>
      <c r="L9" s="28"/>
      <c r="M9" s="27" t="s">
        <v>21</v>
      </c>
      <c r="N9" s="28">
        <v>155.65159999999995</v>
      </c>
    </row>
    <row r="10" spans="1:17" x14ac:dyDescent="0.25">
      <c r="A10" s="27" t="s">
        <v>6</v>
      </c>
      <c r="B10" s="28">
        <v>5993.0900000000011</v>
      </c>
      <c r="D10" s="27" t="s">
        <v>6</v>
      </c>
      <c r="E10" s="28">
        <v>354</v>
      </c>
      <c r="G10" s="29" t="s">
        <v>233</v>
      </c>
      <c r="H10" s="28">
        <v>21</v>
      </c>
      <c r="J10" s="31" t="s">
        <v>18</v>
      </c>
      <c r="K10" s="28">
        <v>1905.1499999999999</v>
      </c>
      <c r="L10" s="28"/>
      <c r="M10" s="27" t="s">
        <v>6</v>
      </c>
      <c r="N10" s="28">
        <v>153.6689743589744</v>
      </c>
    </row>
    <row r="11" spans="1:17" x14ac:dyDescent="0.25">
      <c r="A11" s="27" t="s">
        <v>35</v>
      </c>
      <c r="B11" s="28">
        <v>58929.29</v>
      </c>
      <c r="D11" s="27" t="s">
        <v>35</v>
      </c>
      <c r="E11" s="28">
        <v>3488</v>
      </c>
      <c r="G11" s="29" t="s">
        <v>234</v>
      </c>
      <c r="H11" s="28">
        <v>27</v>
      </c>
      <c r="J11" s="31" t="s">
        <v>6</v>
      </c>
      <c r="K11" s="28">
        <v>1364.9199999999998</v>
      </c>
      <c r="L11" s="28"/>
      <c r="M11" s="27" t="s">
        <v>35</v>
      </c>
      <c r="N11" s="28">
        <v>176.96483483483487</v>
      </c>
    </row>
    <row r="12" spans="1:17" x14ac:dyDescent="0.25">
      <c r="G12" s="29" t="s">
        <v>235</v>
      </c>
      <c r="H12" s="28">
        <v>18</v>
      </c>
      <c r="J12" s="27" t="s">
        <v>11</v>
      </c>
      <c r="K12" s="28">
        <v>11967.079999999998</v>
      </c>
      <c r="L12" s="28"/>
      <c r="M12" s="28"/>
      <c r="N12" s="28"/>
    </row>
    <row r="13" spans="1:17" x14ac:dyDescent="0.25">
      <c r="A13" s="25" t="s">
        <v>2</v>
      </c>
      <c r="B13" t="s">
        <v>224</v>
      </c>
      <c r="D13" s="25" t="s">
        <v>2</v>
      </c>
      <c r="E13" t="s">
        <v>226</v>
      </c>
      <c r="G13" s="29" t="s">
        <v>236</v>
      </c>
      <c r="H13" s="28">
        <v>16</v>
      </c>
      <c r="J13" s="31" t="s">
        <v>21</v>
      </c>
      <c r="K13" s="28">
        <v>935.9799999999999</v>
      </c>
      <c r="L13" s="28"/>
      <c r="M13" s="25" t="s">
        <v>2</v>
      </c>
      <c r="N13" t="s">
        <v>267</v>
      </c>
    </row>
    <row r="14" spans="1:17" x14ac:dyDescent="0.25">
      <c r="A14" s="27" t="s">
        <v>23</v>
      </c>
      <c r="B14" s="28">
        <v>11023.530000000002</v>
      </c>
      <c r="D14" s="27" t="s">
        <v>23</v>
      </c>
      <c r="E14" s="28">
        <v>614</v>
      </c>
      <c r="G14" s="29" t="s">
        <v>237</v>
      </c>
      <c r="H14" s="28">
        <v>19</v>
      </c>
      <c r="J14" s="31" t="s">
        <v>9</v>
      </c>
      <c r="K14" s="28">
        <v>2337.2499999999995</v>
      </c>
      <c r="L14" s="28"/>
      <c r="M14" s="27" t="s">
        <v>23</v>
      </c>
      <c r="N14" s="28">
        <v>200.42781818181822</v>
      </c>
    </row>
    <row r="15" spans="1:17" x14ac:dyDescent="0.25">
      <c r="A15" s="27" t="s">
        <v>10</v>
      </c>
      <c r="B15" s="28">
        <v>10416.34</v>
      </c>
      <c r="D15" s="27" t="s">
        <v>10</v>
      </c>
      <c r="E15" s="28">
        <v>565</v>
      </c>
      <c r="G15" s="29" t="s">
        <v>238</v>
      </c>
      <c r="H15" s="28">
        <v>15</v>
      </c>
      <c r="J15" s="31" t="s">
        <v>12</v>
      </c>
      <c r="K15" s="28">
        <v>1088.3699999999999</v>
      </c>
      <c r="L15" s="28"/>
      <c r="M15" s="27" t="s">
        <v>10</v>
      </c>
      <c r="N15" s="28">
        <v>200.31423076923076</v>
      </c>
    </row>
    <row r="16" spans="1:17" x14ac:dyDescent="0.25">
      <c r="A16" s="27" t="s">
        <v>19</v>
      </c>
      <c r="B16" s="28">
        <v>9121.7800000000043</v>
      </c>
      <c r="D16" s="27" t="s">
        <v>19</v>
      </c>
      <c r="E16" s="28">
        <v>558</v>
      </c>
      <c r="G16" s="29" t="s">
        <v>239</v>
      </c>
      <c r="H16" s="28">
        <v>2</v>
      </c>
      <c r="J16" s="31" t="s">
        <v>15</v>
      </c>
      <c r="K16" s="28">
        <v>3074.5099999999998</v>
      </c>
      <c r="L16" s="28"/>
      <c r="M16" s="27" t="s">
        <v>20</v>
      </c>
      <c r="N16" s="28">
        <v>185.32714285714286</v>
      </c>
    </row>
    <row r="17" spans="1:17" x14ac:dyDescent="0.25">
      <c r="A17" s="27" t="s">
        <v>13</v>
      </c>
      <c r="B17" s="28">
        <v>7945.9699999999993</v>
      </c>
      <c r="D17" s="27" t="s">
        <v>24</v>
      </c>
      <c r="E17" s="28">
        <v>466</v>
      </c>
      <c r="G17" s="29" t="s">
        <v>240</v>
      </c>
      <c r="H17" s="28">
        <v>11</v>
      </c>
      <c r="J17" s="31" t="s">
        <v>17</v>
      </c>
      <c r="K17" s="28">
        <v>1744.6499999999999</v>
      </c>
      <c r="L17" s="28"/>
      <c r="M17" s="27" t="s">
        <v>13</v>
      </c>
      <c r="N17" s="28">
        <v>180.59022727272725</v>
      </c>
    </row>
    <row r="18" spans="1:17" x14ac:dyDescent="0.25">
      <c r="A18" s="27" t="s">
        <v>24</v>
      </c>
      <c r="B18" s="28">
        <v>7039.07</v>
      </c>
      <c r="D18" s="27" t="s">
        <v>7</v>
      </c>
      <c r="E18" s="28">
        <v>455</v>
      </c>
      <c r="G18" s="29" t="s">
        <v>241</v>
      </c>
      <c r="H18" s="28">
        <v>13</v>
      </c>
      <c r="J18" s="31" t="s">
        <v>18</v>
      </c>
      <c r="K18" s="28">
        <v>1473.18</v>
      </c>
      <c r="L18" s="28"/>
      <c r="M18" s="27" t="s">
        <v>19</v>
      </c>
      <c r="N18" s="28">
        <v>168.92185185185193</v>
      </c>
      <c r="Q18" t="s">
        <v>266</v>
      </c>
    </row>
    <row r="19" spans="1:17" x14ac:dyDescent="0.25">
      <c r="A19" s="27" t="s">
        <v>7</v>
      </c>
      <c r="B19" s="28">
        <v>6896.1499999999987</v>
      </c>
      <c r="D19" s="27" t="s">
        <v>13</v>
      </c>
      <c r="E19" s="28">
        <v>449</v>
      </c>
      <c r="G19" s="29" t="s">
        <v>242</v>
      </c>
      <c r="H19" s="28">
        <v>15</v>
      </c>
      <c r="J19" s="31" t="s">
        <v>6</v>
      </c>
      <c r="K19" s="28">
        <v>1313.14</v>
      </c>
      <c r="L19" s="28"/>
      <c r="M19" s="27" t="s">
        <v>24</v>
      </c>
      <c r="N19" s="28">
        <v>156.42377777777776</v>
      </c>
    </row>
    <row r="20" spans="1:17" x14ac:dyDescent="0.25">
      <c r="A20" s="27" t="s">
        <v>20</v>
      </c>
      <c r="B20" s="28">
        <v>6486.45</v>
      </c>
      <c r="D20" s="27" t="s">
        <v>20</v>
      </c>
      <c r="E20" s="28">
        <v>381</v>
      </c>
      <c r="G20" s="29" t="s">
        <v>243</v>
      </c>
      <c r="H20" s="28">
        <v>9</v>
      </c>
      <c r="J20" s="27" t="s">
        <v>22</v>
      </c>
      <c r="K20" s="28">
        <v>11122.06</v>
      </c>
      <c r="L20" s="28"/>
      <c r="M20" s="27" t="s">
        <v>7</v>
      </c>
      <c r="N20" s="28">
        <v>143.66979166666664</v>
      </c>
    </row>
    <row r="21" spans="1:17" x14ac:dyDescent="0.25">
      <c r="A21" s="27" t="s">
        <v>35</v>
      </c>
      <c r="B21" s="28">
        <v>58929.290000000008</v>
      </c>
      <c r="D21" s="27" t="s">
        <v>35</v>
      </c>
      <c r="E21" s="28">
        <v>3488</v>
      </c>
      <c r="G21" s="29" t="s">
        <v>244</v>
      </c>
      <c r="H21" s="28">
        <v>7</v>
      </c>
      <c r="J21" s="31" t="s">
        <v>21</v>
      </c>
      <c r="K21" s="28">
        <v>2211.94</v>
      </c>
      <c r="L21" s="28"/>
      <c r="M21" s="27" t="s">
        <v>35</v>
      </c>
      <c r="N21" s="28">
        <v>176.96483483483479</v>
      </c>
    </row>
    <row r="22" spans="1:17" x14ac:dyDescent="0.25">
      <c r="G22" s="29" t="s">
        <v>245</v>
      </c>
      <c r="H22" s="28">
        <v>7</v>
      </c>
      <c r="J22" s="31" t="s">
        <v>9</v>
      </c>
      <c r="K22" s="28">
        <v>2395.6599999999994</v>
      </c>
      <c r="L22" s="28"/>
      <c r="M22" s="28"/>
      <c r="N22" s="28"/>
    </row>
    <row r="23" spans="1:17" x14ac:dyDescent="0.25">
      <c r="A23" s="25" t="s">
        <v>5</v>
      </c>
      <c r="B23" t="s">
        <v>224</v>
      </c>
      <c r="D23" s="25" t="s">
        <v>5</v>
      </c>
      <c r="E23" t="s">
        <v>226</v>
      </c>
      <c r="G23" s="29" t="s">
        <v>246</v>
      </c>
      <c r="H23" s="28">
        <v>4</v>
      </c>
      <c r="J23" s="31" t="s">
        <v>12</v>
      </c>
      <c r="K23" s="28">
        <v>1046.8000000000002</v>
      </c>
      <c r="L23" s="28"/>
      <c r="M23" s="25" t="s">
        <v>5</v>
      </c>
      <c r="N23" t="s">
        <v>267</v>
      </c>
    </row>
    <row r="24" spans="1:17" x14ac:dyDescent="0.25">
      <c r="A24" s="27" t="s">
        <v>16</v>
      </c>
      <c r="B24" s="28">
        <v>14109.479999999998</v>
      </c>
      <c r="D24" s="27" t="s">
        <v>8</v>
      </c>
      <c r="E24" s="28">
        <v>587</v>
      </c>
      <c r="G24" s="29" t="s">
        <v>247</v>
      </c>
      <c r="H24" s="28">
        <v>5</v>
      </c>
      <c r="J24" s="31" t="s">
        <v>15</v>
      </c>
      <c r="K24" s="28">
        <v>2151.36</v>
      </c>
      <c r="L24" s="28"/>
      <c r="M24" s="27" t="s">
        <v>11</v>
      </c>
      <c r="N24" s="28">
        <v>184.10892307692305</v>
      </c>
    </row>
    <row r="25" spans="1:17" x14ac:dyDescent="0.25">
      <c r="A25" s="27" t="s">
        <v>14</v>
      </c>
      <c r="B25" s="28">
        <v>12032.300000000003</v>
      </c>
      <c r="D25" s="27" t="s">
        <v>11</v>
      </c>
      <c r="E25" s="28">
        <v>689</v>
      </c>
      <c r="G25" s="29" t="s">
        <v>248</v>
      </c>
      <c r="H25" s="28">
        <v>5</v>
      </c>
      <c r="J25" s="31" t="s">
        <v>17</v>
      </c>
      <c r="K25" s="28">
        <v>1454.75</v>
      </c>
      <c r="L25" s="28"/>
      <c r="M25" s="27" t="s">
        <v>16</v>
      </c>
      <c r="N25" s="28">
        <v>183.23999999999998</v>
      </c>
    </row>
    <row r="26" spans="1:17" x14ac:dyDescent="0.25">
      <c r="A26" s="27" t="s">
        <v>11</v>
      </c>
      <c r="B26" s="28">
        <v>11967.079999999998</v>
      </c>
      <c r="D26" s="27" t="s">
        <v>22</v>
      </c>
      <c r="E26" s="28">
        <v>665</v>
      </c>
      <c r="G26" s="29" t="s">
        <v>249</v>
      </c>
      <c r="H26" s="28">
        <v>5</v>
      </c>
      <c r="J26" s="31" t="s">
        <v>18</v>
      </c>
      <c r="K26" s="28">
        <v>1048.05</v>
      </c>
      <c r="L26" s="28"/>
      <c r="M26" s="27" t="s">
        <v>8</v>
      </c>
      <c r="N26" s="28">
        <v>182.98811320754717</v>
      </c>
    </row>
    <row r="27" spans="1:17" x14ac:dyDescent="0.25">
      <c r="A27" s="27" t="s">
        <v>22</v>
      </c>
      <c r="B27" s="28">
        <v>11122.060000000005</v>
      </c>
      <c r="D27" s="27" t="s">
        <v>14</v>
      </c>
      <c r="E27" s="28">
        <v>752</v>
      </c>
      <c r="G27" s="29" t="s">
        <v>250</v>
      </c>
      <c r="H27" s="28">
        <v>1</v>
      </c>
      <c r="J27" s="31" t="s">
        <v>6</v>
      </c>
      <c r="K27" s="28">
        <v>813.5</v>
      </c>
      <c r="L27" s="28"/>
      <c r="M27" s="27" t="s">
        <v>22</v>
      </c>
      <c r="N27" s="28">
        <v>173.78218750000008</v>
      </c>
    </row>
    <row r="28" spans="1:17" x14ac:dyDescent="0.25">
      <c r="A28" s="27" t="s">
        <v>8</v>
      </c>
      <c r="B28" s="28">
        <v>9698.3700000000008</v>
      </c>
      <c r="D28" s="27" t="s">
        <v>16</v>
      </c>
      <c r="E28" s="28">
        <v>795</v>
      </c>
      <c r="G28" s="29" t="s">
        <v>35</v>
      </c>
      <c r="H28" s="28">
        <v>333</v>
      </c>
      <c r="J28" s="27" t="s">
        <v>14</v>
      </c>
      <c r="K28" s="28">
        <v>12032.299999999997</v>
      </c>
      <c r="L28" s="28"/>
      <c r="M28" s="27" t="s">
        <v>14</v>
      </c>
      <c r="N28" s="28">
        <v>162.59864864864869</v>
      </c>
    </row>
    <row r="29" spans="1:17" x14ac:dyDescent="0.25">
      <c r="A29" s="27" t="s">
        <v>35</v>
      </c>
      <c r="B29" s="28">
        <v>58929.29</v>
      </c>
      <c r="D29" s="27" t="s">
        <v>35</v>
      </c>
      <c r="E29" s="28">
        <v>3488</v>
      </c>
      <c r="J29" s="31" t="s">
        <v>21</v>
      </c>
      <c r="K29" s="28">
        <v>1199.7199999999998</v>
      </c>
      <c r="L29" s="28"/>
      <c r="M29" s="27" t="s">
        <v>35</v>
      </c>
      <c r="N29" s="28">
        <v>176.9648348348347</v>
      </c>
    </row>
    <row r="30" spans="1:17" x14ac:dyDescent="0.25">
      <c r="G30" s="25" t="s">
        <v>226</v>
      </c>
      <c r="H30" t="s">
        <v>251</v>
      </c>
      <c r="J30" s="31" t="s">
        <v>9</v>
      </c>
      <c r="K30" s="28">
        <v>1403.43</v>
      </c>
      <c r="L30" s="28"/>
      <c r="M30" s="28"/>
      <c r="N30" s="28"/>
    </row>
    <row r="31" spans="1:17" x14ac:dyDescent="0.25">
      <c r="A31" s="25" t="s">
        <v>225</v>
      </c>
      <c r="B31" t="s">
        <v>224</v>
      </c>
      <c r="D31" s="25" t="s">
        <v>225</v>
      </c>
      <c r="E31" t="s">
        <v>226</v>
      </c>
      <c r="G31" s="30" t="s">
        <v>252</v>
      </c>
      <c r="H31" s="28">
        <v>38</v>
      </c>
      <c r="J31" s="31" t="s">
        <v>12</v>
      </c>
      <c r="K31" s="28">
        <v>2759.1299999999997</v>
      </c>
      <c r="L31" s="28"/>
      <c r="M31" s="25" t="s">
        <v>225</v>
      </c>
      <c r="N31" t="s">
        <v>267</v>
      </c>
    </row>
    <row r="32" spans="1:17" x14ac:dyDescent="0.25">
      <c r="A32" s="27" t="s">
        <v>36</v>
      </c>
      <c r="B32" s="28">
        <v>5536.3900000000012</v>
      </c>
      <c r="D32" s="27" t="s">
        <v>36</v>
      </c>
      <c r="E32" s="28">
        <v>350</v>
      </c>
      <c r="G32" s="30" t="s">
        <v>253</v>
      </c>
      <c r="H32" s="28">
        <v>32</v>
      </c>
      <c r="J32" s="31" t="s">
        <v>15</v>
      </c>
      <c r="K32" s="28">
        <v>2558.06</v>
      </c>
      <c r="L32" s="28"/>
      <c r="M32" s="27" t="s">
        <v>36</v>
      </c>
      <c r="N32" s="28">
        <v>173.01218750000004</v>
      </c>
    </row>
    <row r="33" spans="1:14" x14ac:dyDescent="0.25">
      <c r="A33" s="27" t="s">
        <v>59</v>
      </c>
      <c r="B33" s="28">
        <v>7451.5000000000009</v>
      </c>
      <c r="D33" s="27" t="s">
        <v>59</v>
      </c>
      <c r="E33" s="28">
        <v>418</v>
      </c>
      <c r="G33" s="30" t="s">
        <v>254</v>
      </c>
      <c r="H33" s="28">
        <v>33</v>
      </c>
      <c r="J33" s="31" t="s">
        <v>17</v>
      </c>
      <c r="K33" s="28">
        <v>1177.9899999999998</v>
      </c>
      <c r="L33" s="28"/>
      <c r="M33" s="27" t="s">
        <v>59</v>
      </c>
      <c r="N33" s="28">
        <v>173.29069767441862</v>
      </c>
    </row>
    <row r="34" spans="1:14" x14ac:dyDescent="0.25">
      <c r="A34" s="27" t="s">
        <v>80</v>
      </c>
      <c r="B34" s="28">
        <v>7062.15</v>
      </c>
      <c r="D34" s="27" t="s">
        <v>80</v>
      </c>
      <c r="E34" s="28">
        <v>425</v>
      </c>
      <c r="G34" s="30" t="s">
        <v>255</v>
      </c>
      <c r="H34" s="28">
        <v>35</v>
      </c>
      <c r="J34" s="31" t="s">
        <v>18</v>
      </c>
      <c r="K34" s="28">
        <v>2365.9</v>
      </c>
      <c r="L34" s="28"/>
      <c r="M34" s="27" t="s">
        <v>80</v>
      </c>
      <c r="N34" s="28">
        <v>196.17083333333332</v>
      </c>
    </row>
    <row r="35" spans="1:14" x14ac:dyDescent="0.25">
      <c r="A35" s="27" t="s">
        <v>103</v>
      </c>
      <c r="B35" s="28">
        <v>7339.1499999999987</v>
      </c>
      <c r="D35" s="27" t="s">
        <v>103</v>
      </c>
      <c r="E35" s="28">
        <v>403</v>
      </c>
      <c r="G35" s="30" t="s">
        <v>256</v>
      </c>
      <c r="H35" s="28">
        <v>27</v>
      </c>
      <c r="J35" s="31" t="s">
        <v>6</v>
      </c>
      <c r="K35" s="28">
        <v>568.07000000000005</v>
      </c>
      <c r="L35" s="28"/>
      <c r="M35" s="27" t="s">
        <v>103</v>
      </c>
      <c r="N35" s="28">
        <v>198.35540540540538</v>
      </c>
    </row>
    <row r="36" spans="1:14" x14ac:dyDescent="0.25">
      <c r="A36" s="27" t="s">
        <v>124</v>
      </c>
      <c r="B36" s="28">
        <v>8884.9999999999982</v>
      </c>
      <c r="D36" s="27" t="s">
        <v>124</v>
      </c>
      <c r="E36" s="28">
        <v>524</v>
      </c>
      <c r="G36" s="30" t="s">
        <v>257</v>
      </c>
      <c r="H36" s="28">
        <v>32</v>
      </c>
      <c r="J36" s="27" t="s">
        <v>16</v>
      </c>
      <c r="K36" s="28">
        <v>14109.48</v>
      </c>
      <c r="L36" s="28"/>
      <c r="M36" s="27" t="s">
        <v>124</v>
      </c>
      <c r="N36" s="28">
        <v>181.32653061224485</v>
      </c>
    </row>
    <row r="37" spans="1:14" x14ac:dyDescent="0.25">
      <c r="A37" s="27" t="s">
        <v>150</v>
      </c>
      <c r="B37" s="28">
        <v>7019.5599999999995</v>
      </c>
      <c r="D37" s="27" t="s">
        <v>150</v>
      </c>
      <c r="E37" s="28">
        <v>452</v>
      </c>
      <c r="G37" s="30" t="s">
        <v>258</v>
      </c>
      <c r="H37" s="28">
        <v>33</v>
      </c>
      <c r="J37" s="31" t="s">
        <v>21</v>
      </c>
      <c r="K37" s="28">
        <v>2185.16</v>
      </c>
      <c r="L37" s="28"/>
      <c r="M37" s="27" t="s">
        <v>150</v>
      </c>
      <c r="N37" s="28">
        <v>155.9902222222222</v>
      </c>
    </row>
    <row r="38" spans="1:14" x14ac:dyDescent="0.25">
      <c r="A38" s="27" t="s">
        <v>173</v>
      </c>
      <c r="B38" s="28">
        <v>8754.4399999999987</v>
      </c>
      <c r="D38" s="27" t="s">
        <v>173</v>
      </c>
      <c r="E38" s="28">
        <v>520</v>
      </c>
      <c r="G38" s="30" t="s">
        <v>259</v>
      </c>
      <c r="H38" s="28">
        <v>31</v>
      </c>
      <c r="J38" s="31" t="s">
        <v>9</v>
      </c>
      <c r="K38" s="28">
        <v>2494.79</v>
      </c>
      <c r="L38" s="28"/>
      <c r="M38" s="27" t="s">
        <v>173</v>
      </c>
      <c r="N38" s="28">
        <v>178.66204081632651</v>
      </c>
    </row>
    <row r="39" spans="1:14" x14ac:dyDescent="0.25">
      <c r="A39" s="27" t="s">
        <v>200</v>
      </c>
      <c r="B39" s="28">
        <v>6881.0999999999976</v>
      </c>
      <c r="D39" s="27" t="s">
        <v>200</v>
      </c>
      <c r="E39" s="28">
        <v>396</v>
      </c>
      <c r="G39" s="30" t="s">
        <v>260</v>
      </c>
      <c r="H39" s="28">
        <v>36</v>
      </c>
      <c r="J39" s="31" t="s">
        <v>12</v>
      </c>
      <c r="K39" s="28">
        <v>1678.52</v>
      </c>
      <c r="L39" s="28"/>
      <c r="M39" s="27" t="s">
        <v>200</v>
      </c>
      <c r="N39" s="28">
        <v>163.83571428571423</v>
      </c>
    </row>
    <row r="40" spans="1:14" x14ac:dyDescent="0.25">
      <c r="A40" s="27" t="s">
        <v>35</v>
      </c>
      <c r="B40" s="28">
        <v>58929.289999999986</v>
      </c>
      <c r="D40" s="27" t="s">
        <v>35</v>
      </c>
      <c r="E40" s="28">
        <v>3488</v>
      </c>
      <c r="G40" s="30" t="s">
        <v>261</v>
      </c>
      <c r="H40" s="28">
        <v>36</v>
      </c>
      <c r="J40" s="31" t="s">
        <v>15</v>
      </c>
      <c r="K40" s="28">
        <v>1845.47</v>
      </c>
      <c r="L40" s="28"/>
      <c r="M40" s="27" t="s">
        <v>35</v>
      </c>
      <c r="N40" s="28">
        <v>176.96483483483462</v>
      </c>
    </row>
    <row r="41" spans="1:14" x14ac:dyDescent="0.25">
      <c r="G41" s="30" t="s">
        <v>35</v>
      </c>
      <c r="H41" s="28">
        <v>333</v>
      </c>
      <c r="J41" s="31" t="s">
        <v>17</v>
      </c>
      <c r="K41" s="28">
        <v>2357</v>
      </c>
      <c r="L41" s="28"/>
      <c r="M41" s="28"/>
      <c r="N41" s="28"/>
    </row>
    <row r="42" spans="1:14" x14ac:dyDescent="0.25">
      <c r="A42" s="25" t="s">
        <v>0</v>
      </c>
      <c r="B42" t="s">
        <v>224</v>
      </c>
      <c r="D42" s="25" t="s">
        <v>225</v>
      </c>
      <c r="E42" t="s">
        <v>226</v>
      </c>
      <c r="J42" s="31" t="s">
        <v>18</v>
      </c>
      <c r="K42" s="28">
        <v>1615.0800000000002</v>
      </c>
      <c r="L42" s="28"/>
      <c r="M42" s="25" t="s">
        <v>0</v>
      </c>
      <c r="N42" t="s">
        <v>267</v>
      </c>
    </row>
    <row r="43" spans="1:14" x14ac:dyDescent="0.25">
      <c r="A43" s="26" t="s">
        <v>37</v>
      </c>
      <c r="B43" s="28">
        <v>244.41000000000003</v>
      </c>
      <c r="D43" s="26" t="s">
        <v>37</v>
      </c>
      <c r="E43" s="28">
        <v>17</v>
      </c>
      <c r="J43" s="31" t="s">
        <v>6</v>
      </c>
      <c r="K43" s="28">
        <v>1933.46</v>
      </c>
      <c r="L43" s="28"/>
      <c r="M43" s="26" t="s">
        <v>37</v>
      </c>
      <c r="N43" s="28">
        <v>122.20500000000001</v>
      </c>
    </row>
    <row r="44" spans="1:14" x14ac:dyDescent="0.25">
      <c r="A44" s="26" t="s">
        <v>38</v>
      </c>
      <c r="B44" s="28">
        <v>247.43</v>
      </c>
      <c r="D44" s="26" t="s">
        <v>38</v>
      </c>
      <c r="E44" s="28">
        <v>17</v>
      </c>
      <c r="J44" s="27" t="s">
        <v>35</v>
      </c>
      <c r="K44" s="28">
        <v>58929.289999999986</v>
      </c>
      <c r="L44" s="28"/>
      <c r="M44" s="26" t="s">
        <v>38</v>
      </c>
      <c r="N44" s="28">
        <v>247.43</v>
      </c>
    </row>
    <row r="45" spans="1:14" x14ac:dyDescent="0.25">
      <c r="A45" s="26" t="s">
        <v>39</v>
      </c>
      <c r="B45" s="28">
        <v>54.15</v>
      </c>
      <c r="D45" s="26" t="s">
        <v>39</v>
      </c>
      <c r="E45" s="28">
        <v>3</v>
      </c>
      <c r="M45" s="26" t="s">
        <v>39</v>
      </c>
      <c r="N45" s="28">
        <v>54.15</v>
      </c>
    </row>
    <row r="46" spans="1:14" x14ac:dyDescent="0.25">
      <c r="A46" s="26" t="s">
        <v>40</v>
      </c>
      <c r="B46" s="28">
        <v>756.15</v>
      </c>
      <c r="D46" s="26" t="s">
        <v>40</v>
      </c>
      <c r="E46" s="28">
        <v>51</v>
      </c>
      <c r="M46" s="26" t="s">
        <v>40</v>
      </c>
      <c r="N46" s="28">
        <v>151.22999999999999</v>
      </c>
    </row>
    <row r="47" spans="1:14" x14ac:dyDescent="0.25">
      <c r="A47" s="26" t="s">
        <v>41</v>
      </c>
      <c r="B47" s="28">
        <v>392.8</v>
      </c>
      <c r="D47" s="26" t="s">
        <v>41</v>
      </c>
      <c r="E47" s="28">
        <v>16</v>
      </c>
      <c r="M47" s="26" t="s">
        <v>41</v>
      </c>
      <c r="N47" s="28">
        <v>392.8</v>
      </c>
    </row>
    <row r="48" spans="1:14" x14ac:dyDescent="0.25">
      <c r="A48" s="26" t="s">
        <v>42</v>
      </c>
      <c r="B48" s="28">
        <v>328.78</v>
      </c>
      <c r="D48" s="26" t="s">
        <v>42</v>
      </c>
      <c r="E48" s="28">
        <v>38</v>
      </c>
      <c r="M48" s="26" t="s">
        <v>42</v>
      </c>
      <c r="N48" s="28">
        <v>164.39</v>
      </c>
    </row>
    <row r="49" spans="1:14" x14ac:dyDescent="0.25">
      <c r="A49" s="26" t="s">
        <v>43</v>
      </c>
      <c r="B49" s="28">
        <v>210.77</v>
      </c>
      <c r="D49" s="26" t="s">
        <v>43</v>
      </c>
      <c r="E49" s="28">
        <v>19</v>
      </c>
      <c r="M49" s="26" t="s">
        <v>43</v>
      </c>
      <c r="N49" s="28">
        <v>210.77</v>
      </c>
    </row>
    <row r="50" spans="1:14" x14ac:dyDescent="0.25">
      <c r="A50" s="26" t="s">
        <v>44</v>
      </c>
      <c r="B50" s="28">
        <v>674.27</v>
      </c>
      <c r="D50" s="26" t="s">
        <v>44</v>
      </c>
      <c r="E50" s="28">
        <v>32</v>
      </c>
      <c r="M50" s="26" t="s">
        <v>44</v>
      </c>
      <c r="N50" s="28">
        <v>337.13499999999999</v>
      </c>
    </row>
    <row r="51" spans="1:14" x14ac:dyDescent="0.25">
      <c r="A51" s="26" t="s">
        <v>45</v>
      </c>
      <c r="B51" s="28">
        <v>289.57</v>
      </c>
      <c r="D51" s="26" t="s">
        <v>45</v>
      </c>
      <c r="E51" s="28">
        <v>13</v>
      </c>
      <c r="M51" s="26" t="s">
        <v>45</v>
      </c>
      <c r="N51" s="28">
        <v>289.57</v>
      </c>
    </row>
    <row r="52" spans="1:14" x14ac:dyDescent="0.25">
      <c r="A52" s="26" t="s">
        <v>46</v>
      </c>
      <c r="B52" s="28">
        <v>211.91</v>
      </c>
      <c r="D52" s="26" t="s">
        <v>46</v>
      </c>
      <c r="E52" s="28">
        <v>11</v>
      </c>
      <c r="M52" s="26" t="s">
        <v>46</v>
      </c>
      <c r="N52" s="28">
        <v>211.91</v>
      </c>
    </row>
    <row r="53" spans="1:14" x14ac:dyDescent="0.25">
      <c r="A53" s="26" t="s">
        <v>47</v>
      </c>
      <c r="B53" s="28">
        <v>27.98</v>
      </c>
      <c r="D53" s="26" t="s">
        <v>47</v>
      </c>
      <c r="E53" s="28">
        <v>3</v>
      </c>
      <c r="M53" s="26" t="s">
        <v>47</v>
      </c>
      <c r="N53" s="28">
        <v>27.98</v>
      </c>
    </row>
    <row r="54" spans="1:14" x14ac:dyDescent="0.25">
      <c r="A54" s="26" t="s">
        <v>48</v>
      </c>
      <c r="B54" s="28">
        <v>147.72999999999999</v>
      </c>
      <c r="D54" s="26" t="s">
        <v>48</v>
      </c>
      <c r="E54" s="28">
        <v>8</v>
      </c>
      <c r="M54" s="26" t="s">
        <v>48</v>
      </c>
      <c r="N54" s="28">
        <v>147.72999999999999</v>
      </c>
    </row>
    <row r="55" spans="1:14" x14ac:dyDescent="0.25">
      <c r="A55" s="26" t="s">
        <v>49</v>
      </c>
      <c r="B55" s="28">
        <v>225.25</v>
      </c>
      <c r="D55" s="26" t="s">
        <v>49</v>
      </c>
      <c r="E55" s="28">
        <v>14</v>
      </c>
      <c r="M55" s="26" t="s">
        <v>49</v>
      </c>
      <c r="N55" s="28">
        <v>112.625</v>
      </c>
    </row>
    <row r="56" spans="1:14" x14ac:dyDescent="0.25">
      <c r="A56" s="26" t="s">
        <v>50</v>
      </c>
      <c r="B56" s="28">
        <v>656.04</v>
      </c>
      <c r="D56" s="26" t="s">
        <v>50</v>
      </c>
      <c r="E56" s="28">
        <v>29</v>
      </c>
      <c r="M56" s="26" t="s">
        <v>50</v>
      </c>
      <c r="N56" s="28">
        <v>328.02</v>
      </c>
    </row>
    <row r="57" spans="1:14" x14ac:dyDescent="0.25">
      <c r="A57" s="26" t="s">
        <v>51</v>
      </c>
      <c r="B57" s="28">
        <v>180.5</v>
      </c>
      <c r="D57" s="26" t="s">
        <v>51</v>
      </c>
      <c r="E57" s="28">
        <v>9</v>
      </c>
      <c r="M57" s="26" t="s">
        <v>51</v>
      </c>
      <c r="N57" s="28">
        <v>180.5</v>
      </c>
    </row>
    <row r="58" spans="1:14" x14ac:dyDescent="0.25">
      <c r="A58" s="26" t="s">
        <v>52</v>
      </c>
      <c r="B58" s="28">
        <v>68.209999999999994</v>
      </c>
      <c r="D58" s="26" t="s">
        <v>52</v>
      </c>
      <c r="E58" s="28">
        <v>6</v>
      </c>
      <c r="M58" s="26" t="s">
        <v>52</v>
      </c>
      <c r="N58" s="28">
        <v>68.209999999999994</v>
      </c>
    </row>
    <row r="59" spans="1:14" x14ac:dyDescent="0.25">
      <c r="A59" s="26" t="s">
        <v>53</v>
      </c>
      <c r="B59" s="28">
        <v>89.29</v>
      </c>
      <c r="D59" s="26" t="s">
        <v>53</v>
      </c>
      <c r="E59" s="28">
        <v>7</v>
      </c>
      <c r="M59" s="26" t="s">
        <v>53</v>
      </c>
      <c r="N59" s="28">
        <v>89.29</v>
      </c>
    </row>
    <row r="60" spans="1:14" x14ac:dyDescent="0.25">
      <c r="A60" s="26" t="s">
        <v>54</v>
      </c>
      <c r="B60" s="28">
        <v>141.91999999999999</v>
      </c>
      <c r="D60" s="26" t="s">
        <v>54</v>
      </c>
      <c r="E60" s="28">
        <v>14</v>
      </c>
      <c r="M60" s="26" t="s">
        <v>54</v>
      </c>
      <c r="N60" s="28">
        <v>141.91999999999999</v>
      </c>
    </row>
    <row r="61" spans="1:14" x14ac:dyDescent="0.25">
      <c r="A61" s="26" t="s">
        <v>55</v>
      </c>
      <c r="B61" s="28">
        <v>192.17000000000002</v>
      </c>
      <c r="D61" s="26" t="s">
        <v>55</v>
      </c>
      <c r="E61" s="28">
        <v>14</v>
      </c>
      <c r="M61" s="26" t="s">
        <v>55</v>
      </c>
      <c r="N61" s="28">
        <v>96.085000000000008</v>
      </c>
    </row>
    <row r="62" spans="1:14" x14ac:dyDescent="0.25">
      <c r="A62" s="26" t="s">
        <v>56</v>
      </c>
      <c r="B62" s="28">
        <v>65.17</v>
      </c>
      <c r="D62" s="26" t="s">
        <v>56</v>
      </c>
      <c r="E62" s="28">
        <v>7</v>
      </c>
      <c r="M62" s="26" t="s">
        <v>56</v>
      </c>
      <c r="N62" s="28">
        <v>65.17</v>
      </c>
    </row>
    <row r="63" spans="1:14" x14ac:dyDescent="0.25">
      <c r="A63" s="26" t="s">
        <v>57</v>
      </c>
      <c r="B63" s="28">
        <v>176.73</v>
      </c>
      <c r="D63" s="26" t="s">
        <v>57</v>
      </c>
      <c r="E63" s="28">
        <v>11</v>
      </c>
      <c r="M63" s="26" t="s">
        <v>57</v>
      </c>
      <c r="N63" s="28">
        <v>176.73</v>
      </c>
    </row>
    <row r="64" spans="1:14" x14ac:dyDescent="0.25">
      <c r="A64" s="26" t="s">
        <v>58</v>
      </c>
      <c r="B64" s="28">
        <v>155.16</v>
      </c>
      <c r="D64" s="26" t="s">
        <v>58</v>
      </c>
      <c r="E64" s="28">
        <v>11</v>
      </c>
      <c r="M64" s="26" t="s">
        <v>58</v>
      </c>
      <c r="N64" s="28">
        <v>155.16</v>
      </c>
    </row>
    <row r="65" spans="1:14" x14ac:dyDescent="0.25">
      <c r="A65" s="26" t="s">
        <v>60</v>
      </c>
      <c r="B65" s="28">
        <v>202.9</v>
      </c>
      <c r="D65" s="26" t="s">
        <v>60</v>
      </c>
      <c r="E65" s="28">
        <v>19</v>
      </c>
      <c r="M65" s="26" t="s">
        <v>60</v>
      </c>
      <c r="N65" s="28">
        <v>202.9</v>
      </c>
    </row>
    <row r="66" spans="1:14" x14ac:dyDescent="0.25">
      <c r="A66" s="26" t="s">
        <v>61</v>
      </c>
      <c r="B66" s="28">
        <v>88.26</v>
      </c>
      <c r="D66" s="26" t="s">
        <v>61</v>
      </c>
      <c r="E66" s="28">
        <v>4</v>
      </c>
      <c r="M66" s="26" t="s">
        <v>61</v>
      </c>
      <c r="N66" s="28">
        <v>88.26</v>
      </c>
    </row>
    <row r="67" spans="1:14" x14ac:dyDescent="0.25">
      <c r="A67" s="26" t="s">
        <v>62</v>
      </c>
      <c r="B67" s="28">
        <v>602.98</v>
      </c>
      <c r="D67" s="26" t="s">
        <v>62</v>
      </c>
      <c r="E67" s="28">
        <v>33</v>
      </c>
      <c r="M67" s="26" t="s">
        <v>62</v>
      </c>
      <c r="N67" s="28">
        <v>301.49</v>
      </c>
    </row>
    <row r="68" spans="1:14" x14ac:dyDescent="0.25">
      <c r="A68" s="26" t="s">
        <v>63</v>
      </c>
      <c r="B68" s="28">
        <v>951.04</v>
      </c>
      <c r="D68" s="26" t="s">
        <v>63</v>
      </c>
      <c r="E68" s="28">
        <v>53</v>
      </c>
      <c r="M68" s="26" t="s">
        <v>63</v>
      </c>
      <c r="N68" s="28">
        <v>237.76</v>
      </c>
    </row>
    <row r="69" spans="1:14" x14ac:dyDescent="0.25">
      <c r="A69" s="26" t="s">
        <v>64</v>
      </c>
      <c r="B69" s="28">
        <v>67.430000000000007</v>
      </c>
      <c r="D69" s="26" t="s">
        <v>64</v>
      </c>
      <c r="E69" s="28">
        <v>7</v>
      </c>
      <c r="M69" s="26" t="s">
        <v>64</v>
      </c>
      <c r="N69" s="28">
        <v>67.430000000000007</v>
      </c>
    </row>
    <row r="70" spans="1:14" x14ac:dyDescent="0.25">
      <c r="A70" s="26" t="s">
        <v>65</v>
      </c>
      <c r="B70" s="28">
        <v>924.76</v>
      </c>
      <c r="D70" s="26" t="s">
        <v>65</v>
      </c>
      <c r="E70" s="28">
        <v>54</v>
      </c>
      <c r="M70" s="26" t="s">
        <v>65</v>
      </c>
      <c r="N70" s="28">
        <v>184.952</v>
      </c>
    </row>
    <row r="71" spans="1:14" x14ac:dyDescent="0.25">
      <c r="A71" s="26" t="s">
        <v>66</v>
      </c>
      <c r="B71" s="28">
        <v>734.92000000000007</v>
      </c>
      <c r="D71" s="26" t="s">
        <v>66</v>
      </c>
      <c r="E71" s="28">
        <v>33</v>
      </c>
      <c r="M71" s="26" t="s">
        <v>66</v>
      </c>
      <c r="N71" s="28">
        <v>367.46000000000004</v>
      </c>
    </row>
    <row r="72" spans="1:14" x14ac:dyDescent="0.25">
      <c r="A72" s="26" t="s">
        <v>67</v>
      </c>
      <c r="B72" s="28">
        <v>931.31999999999994</v>
      </c>
      <c r="D72" s="26" t="s">
        <v>67</v>
      </c>
      <c r="E72" s="28">
        <v>52</v>
      </c>
      <c r="M72" s="26" t="s">
        <v>67</v>
      </c>
      <c r="N72" s="28">
        <v>232.82999999999998</v>
      </c>
    </row>
    <row r="73" spans="1:14" x14ac:dyDescent="0.25">
      <c r="A73" s="26" t="s">
        <v>68</v>
      </c>
      <c r="B73" s="28">
        <v>290.45</v>
      </c>
      <c r="D73" s="26" t="s">
        <v>68</v>
      </c>
      <c r="E73" s="28">
        <v>14</v>
      </c>
      <c r="M73" s="26" t="s">
        <v>68</v>
      </c>
      <c r="N73" s="28">
        <v>290.45</v>
      </c>
    </row>
    <row r="74" spans="1:14" x14ac:dyDescent="0.25">
      <c r="A74" s="26" t="s">
        <v>69</v>
      </c>
      <c r="B74" s="28">
        <v>446.41999999999996</v>
      </c>
      <c r="D74" s="26" t="s">
        <v>69</v>
      </c>
      <c r="E74" s="28">
        <v>22</v>
      </c>
      <c r="M74" s="26" t="s">
        <v>69</v>
      </c>
      <c r="N74" s="28">
        <v>223.20999999999998</v>
      </c>
    </row>
    <row r="75" spans="1:14" x14ac:dyDescent="0.25">
      <c r="A75" s="26" t="s">
        <v>70</v>
      </c>
      <c r="B75" s="28">
        <v>336.15000000000003</v>
      </c>
      <c r="D75" s="26" t="s">
        <v>70</v>
      </c>
      <c r="E75" s="28">
        <v>16</v>
      </c>
      <c r="M75" s="26" t="s">
        <v>70</v>
      </c>
      <c r="N75" s="28">
        <v>168.07500000000002</v>
      </c>
    </row>
    <row r="76" spans="1:14" x14ac:dyDescent="0.25">
      <c r="A76" s="26" t="s">
        <v>71</v>
      </c>
      <c r="B76" s="28">
        <v>129.05000000000001</v>
      </c>
      <c r="D76" s="26" t="s">
        <v>71</v>
      </c>
      <c r="E76" s="28">
        <v>6</v>
      </c>
      <c r="M76" s="26" t="s">
        <v>71</v>
      </c>
      <c r="N76" s="28">
        <v>64.525000000000006</v>
      </c>
    </row>
    <row r="77" spans="1:14" x14ac:dyDescent="0.25">
      <c r="A77" s="26" t="s">
        <v>72</v>
      </c>
      <c r="B77" s="28">
        <v>136.5</v>
      </c>
      <c r="D77" s="26" t="s">
        <v>72</v>
      </c>
      <c r="E77" s="28">
        <v>8</v>
      </c>
      <c r="M77" s="26" t="s">
        <v>72</v>
      </c>
      <c r="N77" s="28">
        <v>68.25</v>
      </c>
    </row>
    <row r="78" spans="1:14" x14ac:dyDescent="0.25">
      <c r="A78" s="26" t="s">
        <v>73</v>
      </c>
      <c r="B78" s="28">
        <v>48.25</v>
      </c>
      <c r="D78" s="26" t="s">
        <v>73</v>
      </c>
      <c r="E78" s="28">
        <v>2</v>
      </c>
      <c r="M78" s="26" t="s">
        <v>73</v>
      </c>
      <c r="N78" s="28">
        <v>48.25</v>
      </c>
    </row>
    <row r="79" spans="1:14" x14ac:dyDescent="0.25">
      <c r="A79" s="26" t="s">
        <v>74</v>
      </c>
      <c r="B79" s="28">
        <v>276.45999999999998</v>
      </c>
      <c r="D79" s="26" t="s">
        <v>74</v>
      </c>
      <c r="E79" s="28">
        <v>26</v>
      </c>
      <c r="M79" s="26" t="s">
        <v>74</v>
      </c>
      <c r="N79" s="28">
        <v>138.22999999999999</v>
      </c>
    </row>
    <row r="80" spans="1:14" x14ac:dyDescent="0.25">
      <c r="A80" s="26" t="s">
        <v>75</v>
      </c>
      <c r="B80" s="28">
        <v>608.76</v>
      </c>
      <c r="D80" s="26" t="s">
        <v>75</v>
      </c>
      <c r="E80" s="28">
        <v>29</v>
      </c>
      <c r="M80" s="26" t="s">
        <v>75</v>
      </c>
      <c r="N80" s="28">
        <v>152.19</v>
      </c>
    </row>
    <row r="81" spans="1:14" x14ac:dyDescent="0.25">
      <c r="A81" s="26" t="s">
        <v>76</v>
      </c>
      <c r="B81" s="28">
        <v>127.61</v>
      </c>
      <c r="D81" s="26" t="s">
        <v>76</v>
      </c>
      <c r="E81" s="28">
        <v>6</v>
      </c>
      <c r="M81" s="26" t="s">
        <v>76</v>
      </c>
      <c r="N81" s="28">
        <v>127.61</v>
      </c>
    </row>
    <row r="82" spans="1:14" x14ac:dyDescent="0.25">
      <c r="A82" s="26" t="s">
        <v>77</v>
      </c>
      <c r="B82" s="28">
        <v>273.35000000000002</v>
      </c>
      <c r="D82" s="26" t="s">
        <v>77</v>
      </c>
      <c r="E82" s="28">
        <v>17</v>
      </c>
      <c r="M82" s="26" t="s">
        <v>77</v>
      </c>
      <c r="N82" s="28">
        <v>136.67500000000001</v>
      </c>
    </row>
    <row r="83" spans="1:14" x14ac:dyDescent="0.25">
      <c r="A83" s="26" t="s">
        <v>78</v>
      </c>
      <c r="B83" s="28">
        <v>89.41</v>
      </c>
      <c r="D83" s="26" t="s">
        <v>78</v>
      </c>
      <c r="E83" s="28">
        <v>6</v>
      </c>
      <c r="M83" s="26" t="s">
        <v>78</v>
      </c>
      <c r="N83" s="28">
        <v>44.704999999999998</v>
      </c>
    </row>
    <row r="84" spans="1:14" x14ac:dyDescent="0.25">
      <c r="A84" s="26" t="s">
        <v>79</v>
      </c>
      <c r="B84" s="28">
        <v>185.48</v>
      </c>
      <c r="D84" s="26" t="s">
        <v>79</v>
      </c>
      <c r="E84" s="28">
        <v>11</v>
      </c>
      <c r="M84" s="26" t="s">
        <v>79</v>
      </c>
      <c r="N84" s="28">
        <v>92.74</v>
      </c>
    </row>
    <row r="85" spans="1:14" x14ac:dyDescent="0.25">
      <c r="A85" s="26" t="s">
        <v>81</v>
      </c>
      <c r="B85" s="28">
        <v>1042.5999999999999</v>
      </c>
      <c r="D85" s="26" t="s">
        <v>81</v>
      </c>
      <c r="E85" s="28">
        <v>65</v>
      </c>
      <c r="M85" s="26" t="s">
        <v>81</v>
      </c>
      <c r="N85" s="28">
        <v>260.64999999999998</v>
      </c>
    </row>
    <row r="86" spans="1:14" x14ac:dyDescent="0.25">
      <c r="A86" s="26" t="s">
        <v>82</v>
      </c>
      <c r="B86" s="28">
        <v>318.33</v>
      </c>
      <c r="D86" s="26" t="s">
        <v>82</v>
      </c>
      <c r="E86" s="28">
        <v>13</v>
      </c>
      <c r="M86" s="26" t="s">
        <v>82</v>
      </c>
      <c r="N86" s="28">
        <v>318.33</v>
      </c>
    </row>
    <row r="87" spans="1:14" x14ac:dyDescent="0.25">
      <c r="A87" s="26" t="s">
        <v>83</v>
      </c>
      <c r="B87" s="28">
        <v>182.35</v>
      </c>
      <c r="D87" s="26" t="s">
        <v>83</v>
      </c>
      <c r="E87" s="28">
        <v>9</v>
      </c>
      <c r="M87" s="26" t="s">
        <v>83</v>
      </c>
      <c r="N87" s="28">
        <v>182.35</v>
      </c>
    </row>
    <row r="88" spans="1:14" x14ac:dyDescent="0.25">
      <c r="A88" s="26" t="s">
        <v>84</v>
      </c>
      <c r="B88" s="28">
        <v>805.04</v>
      </c>
      <c r="D88" s="26" t="s">
        <v>84</v>
      </c>
      <c r="E88" s="28">
        <v>38</v>
      </c>
      <c r="M88" s="26" t="s">
        <v>84</v>
      </c>
      <c r="N88" s="28">
        <v>402.52</v>
      </c>
    </row>
    <row r="89" spans="1:14" x14ac:dyDescent="0.25">
      <c r="A89" s="26" t="s">
        <v>85</v>
      </c>
      <c r="B89" s="28">
        <v>246.17</v>
      </c>
      <c r="D89" s="26" t="s">
        <v>85</v>
      </c>
      <c r="E89" s="28">
        <v>11</v>
      </c>
      <c r="M89" s="26" t="s">
        <v>85</v>
      </c>
      <c r="N89" s="28">
        <v>246.17</v>
      </c>
    </row>
    <row r="90" spans="1:14" x14ac:dyDescent="0.25">
      <c r="A90" s="26" t="s">
        <v>86</v>
      </c>
      <c r="B90" s="28">
        <v>371.81000000000006</v>
      </c>
      <c r="D90" s="26" t="s">
        <v>86</v>
      </c>
      <c r="E90" s="28">
        <v>23</v>
      </c>
      <c r="M90" s="26" t="s">
        <v>86</v>
      </c>
      <c r="N90" s="28">
        <v>123.93666666666668</v>
      </c>
    </row>
    <row r="91" spans="1:14" x14ac:dyDescent="0.25">
      <c r="A91" s="26" t="s">
        <v>87</v>
      </c>
      <c r="B91" s="28">
        <v>244.66</v>
      </c>
      <c r="D91" s="26" t="s">
        <v>87</v>
      </c>
      <c r="E91" s="28">
        <v>15</v>
      </c>
      <c r="M91" s="26" t="s">
        <v>87</v>
      </c>
      <c r="N91" s="28">
        <v>244.66</v>
      </c>
    </row>
    <row r="92" spans="1:14" x14ac:dyDescent="0.25">
      <c r="A92" s="26" t="s">
        <v>88</v>
      </c>
      <c r="B92" s="28">
        <v>795.57999999999993</v>
      </c>
      <c r="D92" s="26" t="s">
        <v>88</v>
      </c>
      <c r="E92" s="28">
        <v>53</v>
      </c>
      <c r="M92" s="26" t="s">
        <v>88</v>
      </c>
      <c r="N92" s="28">
        <v>198.89499999999998</v>
      </c>
    </row>
    <row r="93" spans="1:14" x14ac:dyDescent="0.25">
      <c r="A93" s="26" t="s">
        <v>89</v>
      </c>
      <c r="B93" s="28">
        <v>244.72</v>
      </c>
      <c r="D93" s="26" t="s">
        <v>89</v>
      </c>
      <c r="E93" s="28">
        <v>20</v>
      </c>
      <c r="M93" s="26" t="s">
        <v>89</v>
      </c>
      <c r="N93" s="28">
        <v>244.72</v>
      </c>
    </row>
    <row r="94" spans="1:14" x14ac:dyDescent="0.25">
      <c r="A94" s="26" t="s">
        <v>90</v>
      </c>
      <c r="B94" s="28">
        <v>123.89</v>
      </c>
      <c r="D94" s="26" t="s">
        <v>90</v>
      </c>
      <c r="E94" s="28">
        <v>12</v>
      </c>
      <c r="M94" s="26" t="s">
        <v>90</v>
      </c>
      <c r="N94" s="28">
        <v>123.89</v>
      </c>
    </row>
    <row r="95" spans="1:14" x14ac:dyDescent="0.25">
      <c r="A95" s="26" t="s">
        <v>91</v>
      </c>
      <c r="B95" s="28">
        <v>209.95</v>
      </c>
      <c r="D95" s="26" t="s">
        <v>91</v>
      </c>
      <c r="E95" s="28">
        <v>19</v>
      </c>
      <c r="M95" s="26" t="s">
        <v>91</v>
      </c>
      <c r="N95" s="28">
        <v>104.97499999999999</v>
      </c>
    </row>
    <row r="96" spans="1:14" x14ac:dyDescent="0.25">
      <c r="A96" s="26" t="s">
        <v>92</v>
      </c>
      <c r="B96" s="28">
        <v>197.20999999999998</v>
      </c>
      <c r="D96" s="26" t="s">
        <v>92</v>
      </c>
      <c r="E96" s="28">
        <v>17</v>
      </c>
      <c r="M96" s="26" t="s">
        <v>92</v>
      </c>
      <c r="N96" s="28">
        <v>98.60499999999999</v>
      </c>
    </row>
    <row r="97" spans="1:14" x14ac:dyDescent="0.25">
      <c r="A97" s="26" t="s">
        <v>93</v>
      </c>
      <c r="B97" s="28">
        <v>394.01</v>
      </c>
      <c r="D97" s="26" t="s">
        <v>93</v>
      </c>
      <c r="E97" s="28">
        <v>17</v>
      </c>
      <c r="M97" s="26" t="s">
        <v>93</v>
      </c>
      <c r="N97" s="28">
        <v>394.01</v>
      </c>
    </row>
    <row r="98" spans="1:14" x14ac:dyDescent="0.25">
      <c r="A98" s="26" t="s">
        <v>94</v>
      </c>
      <c r="B98" s="28">
        <v>134.53</v>
      </c>
      <c r="D98" s="26" t="s">
        <v>94</v>
      </c>
      <c r="E98" s="28">
        <v>7</v>
      </c>
      <c r="M98" s="26" t="s">
        <v>94</v>
      </c>
      <c r="N98" s="28">
        <v>134.53</v>
      </c>
    </row>
    <row r="99" spans="1:14" x14ac:dyDescent="0.25">
      <c r="A99" s="26" t="s">
        <v>95</v>
      </c>
      <c r="B99" s="28">
        <v>214</v>
      </c>
      <c r="D99" s="26" t="s">
        <v>95</v>
      </c>
      <c r="E99" s="28">
        <v>11</v>
      </c>
      <c r="M99" s="26" t="s">
        <v>95</v>
      </c>
      <c r="N99" s="28">
        <v>214</v>
      </c>
    </row>
    <row r="100" spans="1:14" x14ac:dyDescent="0.25">
      <c r="A100" s="26" t="s">
        <v>96</v>
      </c>
      <c r="B100" s="28">
        <v>366.29999999999995</v>
      </c>
      <c r="D100" s="26" t="s">
        <v>96</v>
      </c>
      <c r="E100" s="28">
        <v>21</v>
      </c>
      <c r="M100" s="26" t="s">
        <v>96</v>
      </c>
      <c r="N100" s="28">
        <v>183.14999999999998</v>
      </c>
    </row>
    <row r="101" spans="1:14" x14ac:dyDescent="0.25">
      <c r="A101" s="26" t="s">
        <v>97</v>
      </c>
      <c r="B101" s="28">
        <v>443.56</v>
      </c>
      <c r="D101" s="26" t="s">
        <v>97</v>
      </c>
      <c r="E101" s="28">
        <v>19</v>
      </c>
      <c r="M101" s="26" t="s">
        <v>97</v>
      </c>
      <c r="N101" s="28">
        <v>443.56</v>
      </c>
    </row>
    <row r="102" spans="1:14" x14ac:dyDescent="0.25">
      <c r="A102" s="26" t="s">
        <v>98</v>
      </c>
      <c r="B102" s="28">
        <v>94.04</v>
      </c>
      <c r="D102" s="26" t="s">
        <v>98</v>
      </c>
      <c r="E102" s="28">
        <v>5</v>
      </c>
      <c r="M102" s="26" t="s">
        <v>98</v>
      </c>
      <c r="N102" s="28">
        <v>94.04</v>
      </c>
    </row>
    <row r="103" spans="1:14" x14ac:dyDescent="0.25">
      <c r="A103" s="26" t="s">
        <v>99</v>
      </c>
      <c r="B103" s="28">
        <v>54.26</v>
      </c>
      <c r="D103" s="26" t="s">
        <v>99</v>
      </c>
      <c r="E103" s="28">
        <v>3</v>
      </c>
      <c r="M103" s="26" t="s">
        <v>99</v>
      </c>
      <c r="N103" s="28">
        <v>27.13</v>
      </c>
    </row>
    <row r="104" spans="1:14" x14ac:dyDescent="0.25">
      <c r="A104" s="26" t="s">
        <v>100</v>
      </c>
      <c r="B104" s="28">
        <v>89.01</v>
      </c>
      <c r="D104" s="26" t="s">
        <v>100</v>
      </c>
      <c r="E104" s="28">
        <v>9</v>
      </c>
      <c r="M104" s="26" t="s">
        <v>100</v>
      </c>
      <c r="N104" s="28">
        <v>89.01</v>
      </c>
    </row>
    <row r="105" spans="1:14" x14ac:dyDescent="0.25">
      <c r="A105" s="26" t="s">
        <v>101</v>
      </c>
      <c r="B105" s="28">
        <v>246.33999999999997</v>
      </c>
      <c r="D105" s="26" t="s">
        <v>101</v>
      </c>
      <c r="E105" s="28">
        <v>25</v>
      </c>
      <c r="M105" s="26" t="s">
        <v>101</v>
      </c>
      <c r="N105" s="28">
        <v>123.16999999999999</v>
      </c>
    </row>
    <row r="106" spans="1:14" x14ac:dyDescent="0.25">
      <c r="A106" s="26" t="s">
        <v>102</v>
      </c>
      <c r="B106" s="28">
        <v>243.79</v>
      </c>
      <c r="D106" s="26" t="s">
        <v>102</v>
      </c>
      <c r="E106" s="28">
        <v>13</v>
      </c>
      <c r="M106" s="26" t="s">
        <v>102</v>
      </c>
      <c r="N106" s="28">
        <v>243.79</v>
      </c>
    </row>
    <row r="107" spans="1:14" x14ac:dyDescent="0.25">
      <c r="A107" s="26" t="s">
        <v>104</v>
      </c>
      <c r="B107" s="28">
        <v>112.85</v>
      </c>
      <c r="D107" s="26" t="s">
        <v>104</v>
      </c>
      <c r="E107" s="28">
        <v>9</v>
      </c>
      <c r="M107" s="26" t="s">
        <v>104</v>
      </c>
      <c r="N107" s="28">
        <v>112.85</v>
      </c>
    </row>
    <row r="108" spans="1:14" x14ac:dyDescent="0.25">
      <c r="A108" s="26" t="s">
        <v>105</v>
      </c>
      <c r="B108" s="28">
        <v>40.32</v>
      </c>
      <c r="D108" s="26" t="s">
        <v>105</v>
      </c>
      <c r="E108" s="28">
        <v>3</v>
      </c>
      <c r="M108" s="26" t="s">
        <v>105</v>
      </c>
      <c r="N108" s="28">
        <v>40.32</v>
      </c>
    </row>
    <row r="109" spans="1:14" x14ac:dyDescent="0.25">
      <c r="A109" s="26" t="s">
        <v>106</v>
      </c>
      <c r="B109" s="28">
        <v>397.29</v>
      </c>
      <c r="D109" s="26" t="s">
        <v>106</v>
      </c>
      <c r="E109" s="28">
        <v>20</v>
      </c>
      <c r="M109" s="26" t="s">
        <v>106</v>
      </c>
      <c r="N109" s="28">
        <v>132.43</v>
      </c>
    </row>
    <row r="110" spans="1:14" x14ac:dyDescent="0.25">
      <c r="A110" s="26" t="s">
        <v>107</v>
      </c>
      <c r="B110" s="28">
        <v>622.77</v>
      </c>
      <c r="D110" s="26" t="s">
        <v>107</v>
      </c>
      <c r="E110" s="28">
        <v>26</v>
      </c>
      <c r="M110" s="26" t="s">
        <v>107</v>
      </c>
      <c r="N110" s="28">
        <v>311.38499999999999</v>
      </c>
    </row>
    <row r="111" spans="1:14" x14ac:dyDescent="0.25">
      <c r="A111" s="26" t="s">
        <v>108</v>
      </c>
      <c r="B111" s="28">
        <v>550.43000000000006</v>
      </c>
      <c r="D111" s="26" t="s">
        <v>108</v>
      </c>
      <c r="E111" s="28">
        <v>29</v>
      </c>
      <c r="M111" s="26" t="s">
        <v>108</v>
      </c>
      <c r="N111" s="28">
        <v>275.21500000000003</v>
      </c>
    </row>
    <row r="112" spans="1:14" x14ac:dyDescent="0.25">
      <c r="A112" s="26" t="s">
        <v>109</v>
      </c>
      <c r="B112" s="28">
        <v>161.49</v>
      </c>
      <c r="D112" s="26" t="s">
        <v>109</v>
      </c>
      <c r="E112" s="28">
        <v>18</v>
      </c>
      <c r="M112" s="26" t="s">
        <v>109</v>
      </c>
      <c r="N112" s="28">
        <v>161.49</v>
      </c>
    </row>
    <row r="113" spans="1:14" x14ac:dyDescent="0.25">
      <c r="A113" s="26" t="s">
        <v>110</v>
      </c>
      <c r="B113" s="28">
        <v>294.16000000000003</v>
      </c>
      <c r="D113" s="26" t="s">
        <v>110</v>
      </c>
      <c r="E113" s="28">
        <v>14</v>
      </c>
      <c r="M113" s="26" t="s">
        <v>110</v>
      </c>
      <c r="N113" s="28">
        <v>294.16000000000003</v>
      </c>
    </row>
    <row r="114" spans="1:14" x14ac:dyDescent="0.25">
      <c r="A114" s="26" t="s">
        <v>111</v>
      </c>
      <c r="B114" s="28">
        <v>409.43</v>
      </c>
      <c r="D114" s="26" t="s">
        <v>111</v>
      </c>
      <c r="E114" s="28">
        <v>29</v>
      </c>
      <c r="M114" s="26" t="s">
        <v>111</v>
      </c>
      <c r="N114" s="28">
        <v>204.715</v>
      </c>
    </row>
    <row r="115" spans="1:14" x14ac:dyDescent="0.25">
      <c r="A115" s="26" t="s">
        <v>112</v>
      </c>
      <c r="B115" s="28">
        <v>141.33000000000001</v>
      </c>
      <c r="D115" s="26" t="s">
        <v>112</v>
      </c>
      <c r="E115" s="28">
        <v>7</v>
      </c>
      <c r="M115" s="26" t="s">
        <v>112</v>
      </c>
      <c r="N115" s="28">
        <v>141.33000000000001</v>
      </c>
    </row>
    <row r="116" spans="1:14" x14ac:dyDescent="0.25">
      <c r="A116" s="26" t="s">
        <v>113</v>
      </c>
      <c r="B116" s="28">
        <v>342.89000000000004</v>
      </c>
      <c r="D116" s="26" t="s">
        <v>113</v>
      </c>
      <c r="E116" s="28">
        <v>17</v>
      </c>
      <c r="M116" s="26" t="s">
        <v>113</v>
      </c>
      <c r="N116" s="28">
        <v>171.44500000000002</v>
      </c>
    </row>
    <row r="117" spans="1:14" x14ac:dyDescent="0.25">
      <c r="A117" s="26" t="s">
        <v>114</v>
      </c>
      <c r="B117" s="28">
        <v>551.80000000000007</v>
      </c>
      <c r="D117" s="26" t="s">
        <v>114</v>
      </c>
      <c r="E117" s="28">
        <v>23</v>
      </c>
      <c r="M117" s="26" t="s">
        <v>114</v>
      </c>
      <c r="N117" s="28">
        <v>275.90000000000003</v>
      </c>
    </row>
    <row r="118" spans="1:14" x14ac:dyDescent="0.25">
      <c r="A118" s="26" t="s">
        <v>115</v>
      </c>
      <c r="B118" s="28">
        <v>396.99</v>
      </c>
      <c r="D118" s="26" t="s">
        <v>115</v>
      </c>
      <c r="E118" s="28">
        <v>25</v>
      </c>
      <c r="M118" s="26" t="s">
        <v>115</v>
      </c>
      <c r="N118" s="28">
        <v>198.495</v>
      </c>
    </row>
    <row r="119" spans="1:14" x14ac:dyDescent="0.25">
      <c r="A119" s="26" t="s">
        <v>116</v>
      </c>
      <c r="B119" s="28">
        <v>523.17999999999995</v>
      </c>
      <c r="D119" s="26" t="s">
        <v>116</v>
      </c>
      <c r="E119" s="28">
        <v>23</v>
      </c>
      <c r="M119" s="26" t="s">
        <v>116</v>
      </c>
      <c r="N119" s="28">
        <v>261.58999999999997</v>
      </c>
    </row>
    <row r="120" spans="1:14" x14ac:dyDescent="0.25">
      <c r="A120" s="26" t="s">
        <v>117</v>
      </c>
      <c r="B120" s="28">
        <v>96.7</v>
      </c>
      <c r="D120" s="26" t="s">
        <v>117</v>
      </c>
      <c r="E120" s="28">
        <v>4</v>
      </c>
      <c r="M120" s="26" t="s">
        <v>117</v>
      </c>
      <c r="N120" s="28">
        <v>96.7</v>
      </c>
    </row>
    <row r="121" spans="1:14" x14ac:dyDescent="0.25">
      <c r="A121" s="26" t="s">
        <v>118</v>
      </c>
      <c r="B121" s="28">
        <v>318.47000000000003</v>
      </c>
      <c r="D121" s="26" t="s">
        <v>118</v>
      </c>
      <c r="E121" s="28">
        <v>24</v>
      </c>
      <c r="M121" s="26" t="s">
        <v>118</v>
      </c>
      <c r="N121" s="28">
        <v>159.23500000000001</v>
      </c>
    </row>
    <row r="122" spans="1:14" x14ac:dyDescent="0.25">
      <c r="A122" s="26" t="s">
        <v>119</v>
      </c>
      <c r="B122" s="28">
        <v>64.41</v>
      </c>
      <c r="D122" s="26" t="s">
        <v>119</v>
      </c>
      <c r="E122" s="28">
        <v>5</v>
      </c>
      <c r="M122" s="26" t="s">
        <v>119</v>
      </c>
      <c r="N122" s="28">
        <v>64.41</v>
      </c>
    </row>
    <row r="123" spans="1:14" x14ac:dyDescent="0.25">
      <c r="A123" s="26" t="s">
        <v>120</v>
      </c>
      <c r="B123" s="28">
        <v>802.92000000000007</v>
      </c>
      <c r="D123" s="26" t="s">
        <v>120</v>
      </c>
      <c r="E123" s="28">
        <v>36</v>
      </c>
      <c r="M123" s="26" t="s">
        <v>120</v>
      </c>
      <c r="N123" s="28">
        <v>267.64000000000004</v>
      </c>
    </row>
    <row r="124" spans="1:14" x14ac:dyDescent="0.25">
      <c r="A124" s="26" t="s">
        <v>121</v>
      </c>
      <c r="B124" s="28">
        <v>1069.3399999999999</v>
      </c>
      <c r="D124" s="26" t="s">
        <v>121</v>
      </c>
      <c r="E124" s="28">
        <v>63</v>
      </c>
      <c r="M124" s="26" t="s">
        <v>121</v>
      </c>
      <c r="N124" s="28">
        <v>213.86799999999999</v>
      </c>
    </row>
    <row r="125" spans="1:14" x14ac:dyDescent="0.25">
      <c r="A125" s="26" t="s">
        <v>122</v>
      </c>
      <c r="B125" s="28">
        <v>295.77999999999997</v>
      </c>
      <c r="D125" s="26" t="s">
        <v>122</v>
      </c>
      <c r="E125" s="28">
        <v>12</v>
      </c>
      <c r="M125" s="26" t="s">
        <v>122</v>
      </c>
      <c r="N125" s="28">
        <v>295.77999999999997</v>
      </c>
    </row>
    <row r="126" spans="1:14" x14ac:dyDescent="0.25">
      <c r="A126" s="26" t="s">
        <v>123</v>
      </c>
      <c r="B126" s="28">
        <v>146.6</v>
      </c>
      <c r="D126" s="26" t="s">
        <v>123</v>
      </c>
      <c r="E126" s="28">
        <v>16</v>
      </c>
      <c r="M126" s="26" t="s">
        <v>123</v>
      </c>
      <c r="N126" s="28">
        <v>73.3</v>
      </c>
    </row>
    <row r="127" spans="1:14" x14ac:dyDescent="0.25">
      <c r="A127" s="26" t="s">
        <v>125</v>
      </c>
      <c r="B127" s="28">
        <v>260.35000000000002</v>
      </c>
      <c r="D127" s="26" t="s">
        <v>125</v>
      </c>
      <c r="E127" s="28">
        <v>18</v>
      </c>
      <c r="M127" s="26" t="s">
        <v>125</v>
      </c>
      <c r="N127" s="28">
        <v>260.35000000000002</v>
      </c>
    </row>
    <row r="128" spans="1:14" x14ac:dyDescent="0.25">
      <c r="A128" s="26" t="s">
        <v>126</v>
      </c>
      <c r="B128" s="28">
        <v>367</v>
      </c>
      <c r="D128" s="26" t="s">
        <v>126</v>
      </c>
      <c r="E128" s="28">
        <v>20</v>
      </c>
      <c r="M128" s="26" t="s">
        <v>126</v>
      </c>
      <c r="N128" s="28">
        <v>183.5</v>
      </c>
    </row>
    <row r="129" spans="1:14" x14ac:dyDescent="0.25">
      <c r="A129" s="26" t="s">
        <v>127</v>
      </c>
      <c r="B129" s="28">
        <v>142.63</v>
      </c>
      <c r="D129" s="26" t="s">
        <v>127</v>
      </c>
      <c r="E129" s="28">
        <v>10</v>
      </c>
      <c r="M129" s="26" t="s">
        <v>127</v>
      </c>
      <c r="N129" s="28">
        <v>71.314999999999998</v>
      </c>
    </row>
    <row r="130" spans="1:14" x14ac:dyDescent="0.25">
      <c r="A130" s="26" t="s">
        <v>128</v>
      </c>
      <c r="B130" s="28">
        <v>345.67</v>
      </c>
      <c r="D130" s="26" t="s">
        <v>128</v>
      </c>
      <c r="E130" s="28">
        <v>15</v>
      </c>
      <c r="M130" s="26" t="s">
        <v>128</v>
      </c>
      <c r="N130" s="28">
        <v>172.83500000000001</v>
      </c>
    </row>
    <row r="131" spans="1:14" x14ac:dyDescent="0.25">
      <c r="A131" s="26" t="s">
        <v>129</v>
      </c>
      <c r="B131" s="28">
        <v>178.45</v>
      </c>
      <c r="D131" s="26" t="s">
        <v>129</v>
      </c>
      <c r="E131" s="28">
        <v>16</v>
      </c>
      <c r="M131" s="26" t="s">
        <v>129</v>
      </c>
      <c r="N131" s="28">
        <v>89.224999999999994</v>
      </c>
    </row>
    <row r="132" spans="1:14" x14ac:dyDescent="0.25">
      <c r="A132" s="26" t="s">
        <v>130</v>
      </c>
      <c r="B132" s="28">
        <v>259.84000000000003</v>
      </c>
      <c r="D132" s="26" t="s">
        <v>130</v>
      </c>
      <c r="E132" s="28">
        <v>18</v>
      </c>
      <c r="M132" s="26" t="s">
        <v>130</v>
      </c>
      <c r="N132" s="28">
        <v>129.92000000000002</v>
      </c>
    </row>
    <row r="133" spans="1:14" x14ac:dyDescent="0.25">
      <c r="A133" s="26" t="s">
        <v>131</v>
      </c>
      <c r="B133" s="28">
        <v>192.59</v>
      </c>
      <c r="D133" s="26" t="s">
        <v>131</v>
      </c>
      <c r="E133" s="28">
        <v>19</v>
      </c>
      <c r="M133" s="26" t="s">
        <v>131</v>
      </c>
      <c r="N133" s="28">
        <v>192.59</v>
      </c>
    </row>
    <row r="134" spans="1:14" x14ac:dyDescent="0.25">
      <c r="A134" s="26" t="s">
        <v>132</v>
      </c>
      <c r="B134" s="28">
        <v>134.85</v>
      </c>
      <c r="D134" s="26" t="s">
        <v>132</v>
      </c>
      <c r="E134" s="28">
        <v>7</v>
      </c>
      <c r="M134" s="26" t="s">
        <v>132</v>
      </c>
      <c r="N134" s="28">
        <v>134.85</v>
      </c>
    </row>
    <row r="135" spans="1:14" x14ac:dyDescent="0.25">
      <c r="A135" s="26" t="s">
        <v>133</v>
      </c>
      <c r="B135" s="28">
        <v>648.25</v>
      </c>
      <c r="D135" s="26" t="s">
        <v>133</v>
      </c>
      <c r="E135" s="28">
        <v>34</v>
      </c>
      <c r="M135" s="26" t="s">
        <v>133</v>
      </c>
      <c r="N135" s="28">
        <v>324.125</v>
      </c>
    </row>
    <row r="136" spans="1:14" x14ac:dyDescent="0.25">
      <c r="A136" s="26" t="s">
        <v>134</v>
      </c>
      <c r="B136" s="28">
        <v>471.36</v>
      </c>
      <c r="D136" s="26" t="s">
        <v>134</v>
      </c>
      <c r="E136" s="28">
        <v>26</v>
      </c>
      <c r="M136" s="26" t="s">
        <v>134</v>
      </c>
      <c r="N136" s="28">
        <v>235.68</v>
      </c>
    </row>
    <row r="137" spans="1:14" x14ac:dyDescent="0.25">
      <c r="A137" s="26" t="s">
        <v>135</v>
      </c>
      <c r="B137" s="28">
        <v>136.59</v>
      </c>
      <c r="D137" s="26" t="s">
        <v>135</v>
      </c>
      <c r="E137" s="28">
        <v>6</v>
      </c>
      <c r="M137" s="26" t="s">
        <v>135</v>
      </c>
      <c r="N137" s="28">
        <v>136.59</v>
      </c>
    </row>
    <row r="138" spans="1:14" x14ac:dyDescent="0.25">
      <c r="A138" s="26" t="s">
        <v>136</v>
      </c>
      <c r="B138" s="28">
        <v>339.14</v>
      </c>
      <c r="D138" s="26" t="s">
        <v>136</v>
      </c>
      <c r="E138" s="28">
        <v>25</v>
      </c>
      <c r="M138" s="26" t="s">
        <v>136</v>
      </c>
      <c r="N138" s="28">
        <v>169.57</v>
      </c>
    </row>
    <row r="139" spans="1:14" x14ac:dyDescent="0.25">
      <c r="A139" s="26" t="s">
        <v>137</v>
      </c>
      <c r="B139" s="28">
        <v>445.21999999999997</v>
      </c>
      <c r="D139" s="26" t="s">
        <v>137</v>
      </c>
      <c r="E139" s="28">
        <v>36</v>
      </c>
      <c r="M139" s="26" t="s">
        <v>137</v>
      </c>
      <c r="N139" s="28">
        <v>111.30499999999999</v>
      </c>
    </row>
    <row r="140" spans="1:14" x14ac:dyDescent="0.25">
      <c r="A140" s="26" t="s">
        <v>138</v>
      </c>
      <c r="B140" s="28">
        <v>79.459999999999994</v>
      </c>
      <c r="D140" s="26" t="s">
        <v>138</v>
      </c>
      <c r="E140" s="28">
        <v>5</v>
      </c>
      <c r="M140" s="26" t="s">
        <v>138</v>
      </c>
      <c r="N140" s="28">
        <v>79.459999999999994</v>
      </c>
    </row>
    <row r="141" spans="1:14" x14ac:dyDescent="0.25">
      <c r="A141" s="26" t="s">
        <v>139</v>
      </c>
      <c r="B141" s="28">
        <v>426.02</v>
      </c>
      <c r="D141" s="26" t="s">
        <v>139</v>
      </c>
      <c r="E141" s="28">
        <v>18</v>
      </c>
      <c r="M141" s="26" t="s">
        <v>139</v>
      </c>
      <c r="N141" s="28">
        <v>426.02</v>
      </c>
    </row>
    <row r="142" spans="1:14" x14ac:dyDescent="0.25">
      <c r="A142" s="26" t="s">
        <v>140</v>
      </c>
      <c r="B142" s="28">
        <v>429</v>
      </c>
      <c r="D142" s="26" t="s">
        <v>140</v>
      </c>
      <c r="E142" s="28">
        <v>21</v>
      </c>
      <c r="M142" s="26" t="s">
        <v>140</v>
      </c>
      <c r="N142" s="28">
        <v>214.5</v>
      </c>
    </row>
    <row r="143" spans="1:14" x14ac:dyDescent="0.25">
      <c r="A143" s="26" t="s">
        <v>141</v>
      </c>
      <c r="B143" s="28">
        <v>838.6</v>
      </c>
      <c r="D143" s="26" t="s">
        <v>141</v>
      </c>
      <c r="E143" s="28">
        <v>45</v>
      </c>
      <c r="M143" s="26" t="s">
        <v>141</v>
      </c>
      <c r="N143" s="28">
        <v>139.76666666666668</v>
      </c>
    </row>
    <row r="144" spans="1:14" x14ac:dyDescent="0.25">
      <c r="A144" s="26" t="s">
        <v>142</v>
      </c>
      <c r="B144" s="28">
        <v>468.9</v>
      </c>
      <c r="D144" s="26" t="s">
        <v>142</v>
      </c>
      <c r="E144" s="28">
        <v>27</v>
      </c>
      <c r="M144" s="26" t="s">
        <v>142</v>
      </c>
      <c r="N144" s="28">
        <v>234.45</v>
      </c>
    </row>
    <row r="145" spans="1:14" x14ac:dyDescent="0.25">
      <c r="A145" s="26" t="s">
        <v>143</v>
      </c>
      <c r="B145" s="28">
        <v>197.08999999999997</v>
      </c>
      <c r="D145" s="26" t="s">
        <v>143</v>
      </c>
      <c r="E145" s="28">
        <v>16</v>
      </c>
      <c r="M145" s="26" t="s">
        <v>143</v>
      </c>
      <c r="N145" s="28">
        <v>65.696666666666658</v>
      </c>
    </row>
    <row r="146" spans="1:14" x14ac:dyDescent="0.25">
      <c r="A146" s="26" t="s">
        <v>144</v>
      </c>
      <c r="B146" s="28">
        <v>155.31</v>
      </c>
      <c r="D146" s="26" t="s">
        <v>144</v>
      </c>
      <c r="E146" s="28">
        <v>9</v>
      </c>
      <c r="M146" s="26" t="s">
        <v>144</v>
      </c>
      <c r="N146" s="28">
        <v>155.31</v>
      </c>
    </row>
    <row r="147" spans="1:14" x14ac:dyDescent="0.25">
      <c r="A147" s="26" t="s">
        <v>145</v>
      </c>
      <c r="B147" s="28">
        <v>151.09</v>
      </c>
      <c r="D147" s="26" t="s">
        <v>145</v>
      </c>
      <c r="E147" s="28">
        <v>12</v>
      </c>
      <c r="M147" s="26" t="s">
        <v>145</v>
      </c>
      <c r="N147" s="28">
        <v>151.09</v>
      </c>
    </row>
    <row r="148" spans="1:14" x14ac:dyDescent="0.25">
      <c r="A148" s="26" t="s">
        <v>146</v>
      </c>
      <c r="B148" s="28">
        <v>708.93000000000006</v>
      </c>
      <c r="D148" s="26" t="s">
        <v>146</v>
      </c>
      <c r="E148" s="28">
        <v>37</v>
      </c>
      <c r="M148" s="26" t="s">
        <v>146</v>
      </c>
      <c r="N148" s="28">
        <v>354.46500000000003</v>
      </c>
    </row>
    <row r="149" spans="1:14" x14ac:dyDescent="0.25">
      <c r="A149" s="26" t="s">
        <v>147</v>
      </c>
      <c r="B149" s="28">
        <v>629.54999999999995</v>
      </c>
      <c r="D149" s="26" t="s">
        <v>147</v>
      </c>
      <c r="E149" s="28">
        <v>33</v>
      </c>
      <c r="M149" s="26" t="s">
        <v>147</v>
      </c>
      <c r="N149" s="28">
        <v>314.77499999999998</v>
      </c>
    </row>
    <row r="150" spans="1:14" x14ac:dyDescent="0.25">
      <c r="A150" s="26" t="s">
        <v>148</v>
      </c>
      <c r="B150" s="28">
        <v>123.12</v>
      </c>
      <c r="D150" s="26" t="s">
        <v>148</v>
      </c>
      <c r="E150" s="28">
        <v>9</v>
      </c>
      <c r="M150" s="26" t="s">
        <v>148</v>
      </c>
      <c r="N150" s="28">
        <v>123.12</v>
      </c>
    </row>
    <row r="151" spans="1:14" x14ac:dyDescent="0.25">
      <c r="A151" s="26" t="s">
        <v>149</v>
      </c>
      <c r="B151" s="28">
        <v>755.99</v>
      </c>
      <c r="D151" s="26" t="s">
        <v>149</v>
      </c>
      <c r="E151" s="28">
        <v>42</v>
      </c>
      <c r="M151" s="26" t="s">
        <v>149</v>
      </c>
      <c r="N151" s="28">
        <v>251.99666666666667</v>
      </c>
    </row>
    <row r="152" spans="1:14" x14ac:dyDescent="0.25">
      <c r="A152" s="26" t="s">
        <v>151</v>
      </c>
      <c r="B152" s="28">
        <v>149.85</v>
      </c>
      <c r="D152" s="26" t="s">
        <v>151</v>
      </c>
      <c r="E152" s="28">
        <v>18</v>
      </c>
      <c r="M152" s="26" t="s">
        <v>151</v>
      </c>
      <c r="N152" s="28">
        <v>149.85</v>
      </c>
    </row>
    <row r="153" spans="1:14" x14ac:dyDescent="0.25">
      <c r="A153" s="26" t="s">
        <v>152</v>
      </c>
      <c r="B153" s="28">
        <v>973.19</v>
      </c>
      <c r="D153" s="26" t="s">
        <v>152</v>
      </c>
      <c r="E153" s="28">
        <v>56</v>
      </c>
      <c r="M153" s="26" t="s">
        <v>152</v>
      </c>
      <c r="N153" s="28">
        <v>194.63800000000001</v>
      </c>
    </row>
    <row r="154" spans="1:14" x14ac:dyDescent="0.25">
      <c r="A154" s="26" t="s">
        <v>153</v>
      </c>
      <c r="B154" s="28">
        <v>41.09</v>
      </c>
      <c r="D154" s="26" t="s">
        <v>153</v>
      </c>
      <c r="E154" s="28">
        <v>5</v>
      </c>
      <c r="M154" s="26" t="s">
        <v>153</v>
      </c>
      <c r="N154" s="28">
        <v>41.09</v>
      </c>
    </row>
    <row r="155" spans="1:14" x14ac:dyDescent="0.25">
      <c r="A155" s="26" t="s">
        <v>154</v>
      </c>
      <c r="B155" s="28">
        <v>400.49</v>
      </c>
      <c r="D155" s="26" t="s">
        <v>154</v>
      </c>
      <c r="E155" s="28">
        <v>24</v>
      </c>
      <c r="M155" s="26" t="s">
        <v>154</v>
      </c>
      <c r="N155" s="28">
        <v>133.49666666666667</v>
      </c>
    </row>
    <row r="156" spans="1:14" x14ac:dyDescent="0.25">
      <c r="A156" s="26" t="s">
        <v>155</v>
      </c>
      <c r="B156" s="28">
        <v>372.53000000000003</v>
      </c>
      <c r="D156" s="26" t="s">
        <v>155</v>
      </c>
      <c r="E156" s="28">
        <v>22</v>
      </c>
      <c r="M156" s="26" t="s">
        <v>155</v>
      </c>
      <c r="N156" s="28">
        <v>186.26500000000001</v>
      </c>
    </row>
    <row r="157" spans="1:14" x14ac:dyDescent="0.25">
      <c r="A157" s="26" t="s">
        <v>156</v>
      </c>
      <c r="B157" s="28">
        <v>381.45</v>
      </c>
      <c r="D157" s="26" t="s">
        <v>156</v>
      </c>
      <c r="E157" s="28">
        <v>17</v>
      </c>
      <c r="M157" s="26" t="s">
        <v>156</v>
      </c>
      <c r="N157" s="28">
        <v>381.45</v>
      </c>
    </row>
    <row r="158" spans="1:14" x14ac:dyDescent="0.25">
      <c r="A158" s="26" t="s">
        <v>157</v>
      </c>
      <c r="B158" s="28">
        <v>307.75</v>
      </c>
      <c r="D158" s="26" t="s">
        <v>157</v>
      </c>
      <c r="E158" s="28">
        <v>14</v>
      </c>
      <c r="M158" s="26" t="s">
        <v>157</v>
      </c>
      <c r="N158" s="28">
        <v>307.75</v>
      </c>
    </row>
    <row r="159" spans="1:14" x14ac:dyDescent="0.25">
      <c r="A159" s="26" t="s">
        <v>158</v>
      </c>
      <c r="B159" s="28">
        <v>272.97000000000003</v>
      </c>
      <c r="D159" s="26" t="s">
        <v>158</v>
      </c>
      <c r="E159" s="28">
        <v>11</v>
      </c>
      <c r="M159" s="26" t="s">
        <v>158</v>
      </c>
      <c r="N159" s="28">
        <v>272.97000000000003</v>
      </c>
    </row>
    <row r="160" spans="1:14" x14ac:dyDescent="0.25">
      <c r="A160" s="26" t="s">
        <v>159</v>
      </c>
      <c r="B160" s="28">
        <v>245.23000000000002</v>
      </c>
      <c r="D160" s="26" t="s">
        <v>159</v>
      </c>
      <c r="E160" s="28">
        <v>13</v>
      </c>
      <c r="M160" s="26" t="s">
        <v>159</v>
      </c>
      <c r="N160" s="28">
        <v>61.307500000000005</v>
      </c>
    </row>
    <row r="161" spans="1:14" x14ac:dyDescent="0.25">
      <c r="A161" s="26" t="s">
        <v>160</v>
      </c>
      <c r="B161" s="28">
        <v>127.82</v>
      </c>
      <c r="D161" s="26" t="s">
        <v>160</v>
      </c>
      <c r="E161" s="28">
        <v>11</v>
      </c>
      <c r="M161" s="26" t="s">
        <v>160</v>
      </c>
      <c r="N161" s="28">
        <v>127.82</v>
      </c>
    </row>
    <row r="162" spans="1:14" x14ac:dyDescent="0.25">
      <c r="A162" s="26" t="s">
        <v>161</v>
      </c>
      <c r="B162" s="28">
        <v>581.74</v>
      </c>
      <c r="D162" s="26" t="s">
        <v>161</v>
      </c>
      <c r="E162" s="28">
        <v>45</v>
      </c>
      <c r="M162" s="26" t="s">
        <v>161</v>
      </c>
      <c r="N162" s="28">
        <v>193.91333333333333</v>
      </c>
    </row>
    <row r="163" spans="1:14" x14ac:dyDescent="0.25">
      <c r="A163" s="26" t="s">
        <v>162</v>
      </c>
      <c r="B163" s="28">
        <v>287.52999999999997</v>
      </c>
      <c r="D163" s="26" t="s">
        <v>162</v>
      </c>
      <c r="E163" s="28">
        <v>14</v>
      </c>
      <c r="M163" s="26" t="s">
        <v>162</v>
      </c>
      <c r="N163" s="28">
        <v>287.52999999999997</v>
      </c>
    </row>
    <row r="164" spans="1:14" x14ac:dyDescent="0.25">
      <c r="A164" s="26" t="s">
        <v>163</v>
      </c>
      <c r="B164" s="28">
        <v>238.86</v>
      </c>
      <c r="D164" s="26" t="s">
        <v>163</v>
      </c>
      <c r="E164" s="28">
        <v>15</v>
      </c>
      <c r="M164" s="26" t="s">
        <v>163</v>
      </c>
      <c r="N164" s="28">
        <v>238.86</v>
      </c>
    </row>
    <row r="165" spans="1:14" x14ac:dyDescent="0.25">
      <c r="A165" s="26" t="s">
        <v>164</v>
      </c>
      <c r="B165" s="28">
        <v>633.45000000000005</v>
      </c>
      <c r="D165" s="26" t="s">
        <v>164</v>
      </c>
      <c r="E165" s="28">
        <v>39</v>
      </c>
      <c r="M165" s="26" t="s">
        <v>164</v>
      </c>
      <c r="N165" s="28">
        <v>211.15</v>
      </c>
    </row>
    <row r="166" spans="1:14" x14ac:dyDescent="0.25">
      <c r="A166" s="26" t="s">
        <v>165</v>
      </c>
      <c r="B166" s="28">
        <v>44.7</v>
      </c>
      <c r="D166" s="26" t="s">
        <v>165</v>
      </c>
      <c r="E166" s="28">
        <v>3</v>
      </c>
      <c r="M166" s="26" t="s">
        <v>165</v>
      </c>
      <c r="N166" s="28">
        <v>22.35</v>
      </c>
    </row>
    <row r="167" spans="1:14" x14ac:dyDescent="0.25">
      <c r="A167" s="26" t="s">
        <v>166</v>
      </c>
      <c r="B167" s="28">
        <v>134.24</v>
      </c>
      <c r="D167" s="26" t="s">
        <v>166</v>
      </c>
      <c r="E167" s="28">
        <v>7</v>
      </c>
      <c r="M167" s="26" t="s">
        <v>166</v>
      </c>
      <c r="N167" s="28">
        <v>134.24</v>
      </c>
    </row>
    <row r="168" spans="1:14" x14ac:dyDescent="0.25">
      <c r="A168" s="26" t="s">
        <v>167</v>
      </c>
      <c r="B168" s="28">
        <v>240.46999999999997</v>
      </c>
      <c r="D168" s="26" t="s">
        <v>167</v>
      </c>
      <c r="E168" s="28">
        <v>15</v>
      </c>
      <c r="M168" s="26" t="s">
        <v>167</v>
      </c>
      <c r="N168" s="28">
        <v>80.156666666666652</v>
      </c>
    </row>
    <row r="169" spans="1:14" x14ac:dyDescent="0.25">
      <c r="A169" s="26" t="s">
        <v>168</v>
      </c>
      <c r="B169" s="28">
        <v>402.03999999999996</v>
      </c>
      <c r="D169" s="26" t="s">
        <v>168</v>
      </c>
      <c r="E169" s="28">
        <v>32</v>
      </c>
      <c r="M169" s="26" t="s">
        <v>168</v>
      </c>
      <c r="N169" s="28">
        <v>134.01333333333332</v>
      </c>
    </row>
    <row r="170" spans="1:14" x14ac:dyDescent="0.25">
      <c r="A170" s="26" t="s">
        <v>169</v>
      </c>
      <c r="B170" s="28">
        <v>649.26</v>
      </c>
      <c r="D170" s="26" t="s">
        <v>169</v>
      </c>
      <c r="E170" s="28">
        <v>46</v>
      </c>
      <c r="M170" s="26" t="s">
        <v>169</v>
      </c>
      <c r="N170" s="28">
        <v>162.315</v>
      </c>
    </row>
    <row r="171" spans="1:14" x14ac:dyDescent="0.25">
      <c r="A171" s="26" t="s">
        <v>170</v>
      </c>
      <c r="B171" s="28">
        <v>176.45</v>
      </c>
      <c r="D171" s="26" t="s">
        <v>170</v>
      </c>
      <c r="E171" s="28">
        <v>15</v>
      </c>
      <c r="M171" s="26" t="s">
        <v>170</v>
      </c>
      <c r="N171" s="28">
        <v>176.45</v>
      </c>
    </row>
    <row r="172" spans="1:14" x14ac:dyDescent="0.25">
      <c r="A172" s="26" t="s">
        <v>171</v>
      </c>
      <c r="B172" s="28">
        <v>88.38</v>
      </c>
      <c r="D172" s="26" t="s">
        <v>171</v>
      </c>
      <c r="E172" s="28">
        <v>7</v>
      </c>
      <c r="M172" s="26" t="s">
        <v>171</v>
      </c>
      <c r="N172" s="28">
        <v>88.38</v>
      </c>
    </row>
    <row r="173" spans="1:14" x14ac:dyDescent="0.25">
      <c r="A173" s="26" t="s">
        <v>172</v>
      </c>
      <c r="B173" s="28">
        <v>270.07</v>
      </c>
      <c r="D173" s="26" t="s">
        <v>172</v>
      </c>
      <c r="E173" s="28">
        <v>23</v>
      </c>
      <c r="M173" s="26" t="s">
        <v>172</v>
      </c>
      <c r="N173" s="28">
        <v>135.035</v>
      </c>
    </row>
    <row r="174" spans="1:14" x14ac:dyDescent="0.25">
      <c r="A174" s="26" t="s">
        <v>174</v>
      </c>
      <c r="B174" s="28">
        <v>195.23000000000002</v>
      </c>
      <c r="D174" s="26" t="s">
        <v>174</v>
      </c>
      <c r="E174" s="28">
        <v>13</v>
      </c>
      <c r="M174" s="26" t="s">
        <v>174</v>
      </c>
      <c r="N174" s="28">
        <v>97.615000000000009</v>
      </c>
    </row>
    <row r="175" spans="1:14" x14ac:dyDescent="0.25">
      <c r="A175" s="26" t="s">
        <v>175</v>
      </c>
      <c r="B175" s="28">
        <v>718.9</v>
      </c>
      <c r="D175" s="26" t="s">
        <v>175</v>
      </c>
      <c r="E175" s="28">
        <v>31</v>
      </c>
      <c r="M175" s="26" t="s">
        <v>175</v>
      </c>
      <c r="N175" s="28">
        <v>359.45</v>
      </c>
    </row>
    <row r="176" spans="1:14" x14ac:dyDescent="0.25">
      <c r="A176" s="26" t="s">
        <v>176</v>
      </c>
      <c r="B176" s="28">
        <v>257.7</v>
      </c>
      <c r="D176" s="26" t="s">
        <v>176</v>
      </c>
      <c r="E176" s="28">
        <v>22</v>
      </c>
      <c r="M176" s="26" t="s">
        <v>176</v>
      </c>
      <c r="N176" s="28">
        <v>128.85</v>
      </c>
    </row>
    <row r="177" spans="1:14" x14ac:dyDescent="0.25">
      <c r="A177" s="26" t="s">
        <v>177</v>
      </c>
      <c r="B177" s="28">
        <v>217.38</v>
      </c>
      <c r="D177" s="26" t="s">
        <v>177</v>
      </c>
      <c r="E177" s="28">
        <v>19</v>
      </c>
      <c r="M177" s="26" t="s">
        <v>177</v>
      </c>
      <c r="N177" s="28">
        <v>217.38</v>
      </c>
    </row>
    <row r="178" spans="1:14" x14ac:dyDescent="0.25">
      <c r="A178" s="26" t="s">
        <v>178</v>
      </c>
      <c r="B178" s="28">
        <v>367.4</v>
      </c>
      <c r="D178" s="26" t="s">
        <v>178</v>
      </c>
      <c r="E178" s="28">
        <v>25</v>
      </c>
      <c r="M178" s="26" t="s">
        <v>178</v>
      </c>
      <c r="N178" s="28">
        <v>183.7</v>
      </c>
    </row>
    <row r="179" spans="1:14" x14ac:dyDescent="0.25">
      <c r="A179" s="26" t="s">
        <v>179</v>
      </c>
      <c r="B179" s="28">
        <v>77.03</v>
      </c>
      <c r="D179" s="26" t="s">
        <v>179</v>
      </c>
      <c r="E179" s="28">
        <v>6</v>
      </c>
      <c r="M179" s="26" t="s">
        <v>179</v>
      </c>
      <c r="N179" s="28">
        <v>38.515000000000001</v>
      </c>
    </row>
    <row r="180" spans="1:14" x14ac:dyDescent="0.25">
      <c r="A180" s="26" t="s">
        <v>180</v>
      </c>
      <c r="B180" s="28">
        <v>153.08000000000001</v>
      </c>
      <c r="D180" s="26" t="s">
        <v>180</v>
      </c>
      <c r="E180" s="28">
        <v>11</v>
      </c>
      <c r="M180" s="26" t="s">
        <v>180</v>
      </c>
      <c r="N180" s="28">
        <v>153.08000000000001</v>
      </c>
    </row>
    <row r="181" spans="1:14" x14ac:dyDescent="0.25">
      <c r="A181" s="26" t="s">
        <v>181</v>
      </c>
      <c r="B181" s="28">
        <v>764.75</v>
      </c>
      <c r="D181" s="26" t="s">
        <v>181</v>
      </c>
      <c r="E181" s="28">
        <v>50</v>
      </c>
      <c r="M181" s="26" t="s">
        <v>181</v>
      </c>
      <c r="N181" s="28">
        <v>254.91666666666666</v>
      </c>
    </row>
    <row r="182" spans="1:14" x14ac:dyDescent="0.25">
      <c r="A182" s="26" t="s">
        <v>182</v>
      </c>
      <c r="B182" s="28">
        <v>102.72</v>
      </c>
      <c r="D182" s="26" t="s">
        <v>182</v>
      </c>
      <c r="E182" s="28">
        <v>8</v>
      </c>
      <c r="M182" s="26" t="s">
        <v>182</v>
      </c>
      <c r="N182" s="28">
        <v>102.72</v>
      </c>
    </row>
    <row r="183" spans="1:14" x14ac:dyDescent="0.25">
      <c r="A183" s="26" t="s">
        <v>183</v>
      </c>
      <c r="B183" s="28">
        <v>326.24</v>
      </c>
      <c r="D183" s="26" t="s">
        <v>183</v>
      </c>
      <c r="E183" s="28">
        <v>24</v>
      </c>
      <c r="M183" s="26" t="s">
        <v>183</v>
      </c>
      <c r="N183" s="28">
        <v>163.12</v>
      </c>
    </row>
    <row r="184" spans="1:14" x14ac:dyDescent="0.25">
      <c r="A184" s="26" t="s">
        <v>184</v>
      </c>
      <c r="B184" s="28">
        <v>431.39</v>
      </c>
      <c r="D184" s="26" t="s">
        <v>184</v>
      </c>
      <c r="E184" s="28">
        <v>18</v>
      </c>
      <c r="M184" s="26" t="s">
        <v>184</v>
      </c>
      <c r="N184" s="28">
        <v>431.39</v>
      </c>
    </row>
    <row r="185" spans="1:14" x14ac:dyDescent="0.25">
      <c r="A185" s="26" t="s">
        <v>185</v>
      </c>
      <c r="B185" s="28">
        <v>704.88</v>
      </c>
      <c r="D185" s="26" t="s">
        <v>185</v>
      </c>
      <c r="E185" s="28">
        <v>34</v>
      </c>
      <c r="M185" s="26" t="s">
        <v>185</v>
      </c>
      <c r="N185" s="28">
        <v>352.44</v>
      </c>
    </row>
    <row r="186" spans="1:14" x14ac:dyDescent="0.25">
      <c r="A186" s="26" t="s">
        <v>186</v>
      </c>
      <c r="B186" s="28">
        <v>845.03</v>
      </c>
      <c r="D186" s="26" t="s">
        <v>186</v>
      </c>
      <c r="E186" s="28">
        <v>49</v>
      </c>
      <c r="M186" s="26" t="s">
        <v>186</v>
      </c>
      <c r="N186" s="28">
        <v>281.67666666666668</v>
      </c>
    </row>
    <row r="187" spans="1:14" x14ac:dyDescent="0.25">
      <c r="A187" s="26" t="s">
        <v>187</v>
      </c>
      <c r="B187" s="28">
        <v>295.71000000000004</v>
      </c>
      <c r="D187" s="26" t="s">
        <v>187</v>
      </c>
      <c r="E187" s="28">
        <v>18</v>
      </c>
      <c r="M187" s="26" t="s">
        <v>187</v>
      </c>
      <c r="N187" s="28">
        <v>147.85500000000002</v>
      </c>
    </row>
    <row r="188" spans="1:14" x14ac:dyDescent="0.25">
      <c r="A188" s="26" t="s">
        <v>188</v>
      </c>
      <c r="B188" s="28">
        <v>327.24</v>
      </c>
      <c r="D188" s="26" t="s">
        <v>188</v>
      </c>
      <c r="E188" s="28">
        <v>23</v>
      </c>
      <c r="M188" s="26" t="s">
        <v>188</v>
      </c>
      <c r="N188" s="28">
        <v>109.08</v>
      </c>
    </row>
    <row r="189" spans="1:14" x14ac:dyDescent="0.25">
      <c r="A189" s="26" t="s">
        <v>189</v>
      </c>
      <c r="B189" s="28">
        <v>97.26</v>
      </c>
      <c r="D189" s="26" t="s">
        <v>189</v>
      </c>
      <c r="E189" s="28">
        <v>5</v>
      </c>
      <c r="M189" s="26" t="s">
        <v>189</v>
      </c>
      <c r="N189" s="28">
        <v>97.26</v>
      </c>
    </row>
    <row r="190" spans="1:14" x14ac:dyDescent="0.25">
      <c r="A190" s="26" t="s">
        <v>190</v>
      </c>
      <c r="B190" s="28">
        <v>101.75</v>
      </c>
      <c r="D190" s="26" t="s">
        <v>190</v>
      </c>
      <c r="E190" s="28">
        <v>6</v>
      </c>
      <c r="M190" s="26" t="s">
        <v>190</v>
      </c>
      <c r="N190" s="28">
        <v>50.875</v>
      </c>
    </row>
    <row r="191" spans="1:14" x14ac:dyDescent="0.25">
      <c r="A191" s="26" t="s">
        <v>191</v>
      </c>
      <c r="B191" s="28">
        <v>479.93</v>
      </c>
      <c r="D191" s="26" t="s">
        <v>191</v>
      </c>
      <c r="E191" s="28">
        <v>20</v>
      </c>
      <c r="M191" s="26" t="s">
        <v>191</v>
      </c>
      <c r="N191" s="28">
        <v>479.93</v>
      </c>
    </row>
    <row r="192" spans="1:14" x14ac:dyDescent="0.25">
      <c r="A192" s="26" t="s">
        <v>192</v>
      </c>
      <c r="B192" s="28">
        <v>122.71</v>
      </c>
      <c r="D192" s="26" t="s">
        <v>192</v>
      </c>
      <c r="E192" s="28">
        <v>9</v>
      </c>
      <c r="M192" s="26" t="s">
        <v>192</v>
      </c>
      <c r="N192" s="28">
        <v>61.354999999999997</v>
      </c>
    </row>
    <row r="193" spans="1:14" x14ac:dyDescent="0.25">
      <c r="A193" s="26" t="s">
        <v>193</v>
      </c>
      <c r="B193" s="28">
        <v>683.88</v>
      </c>
      <c r="D193" s="26" t="s">
        <v>193</v>
      </c>
      <c r="E193" s="28">
        <v>50</v>
      </c>
      <c r="M193" s="26" t="s">
        <v>193</v>
      </c>
      <c r="N193" s="28">
        <v>170.97</v>
      </c>
    </row>
    <row r="194" spans="1:14" x14ac:dyDescent="0.25">
      <c r="A194" s="26" t="s">
        <v>194</v>
      </c>
      <c r="B194" s="28">
        <v>312.06</v>
      </c>
      <c r="D194" s="26" t="s">
        <v>194</v>
      </c>
      <c r="E194" s="28">
        <v>15</v>
      </c>
      <c r="M194" s="26" t="s">
        <v>194</v>
      </c>
      <c r="N194" s="28">
        <v>156.03</v>
      </c>
    </row>
    <row r="195" spans="1:14" x14ac:dyDescent="0.25">
      <c r="A195" s="26" t="s">
        <v>195</v>
      </c>
      <c r="B195" s="28">
        <v>17.670000000000002</v>
      </c>
      <c r="D195" s="26" t="s">
        <v>195</v>
      </c>
      <c r="E195" s="28">
        <v>1</v>
      </c>
      <c r="M195" s="26" t="s">
        <v>195</v>
      </c>
      <c r="N195" s="28">
        <v>17.670000000000002</v>
      </c>
    </row>
    <row r="196" spans="1:14" x14ac:dyDescent="0.25">
      <c r="A196" s="26" t="s">
        <v>196</v>
      </c>
      <c r="B196" s="28">
        <v>367.01</v>
      </c>
      <c r="D196" s="26" t="s">
        <v>196</v>
      </c>
      <c r="E196" s="28">
        <v>22</v>
      </c>
      <c r="M196" s="26" t="s">
        <v>196</v>
      </c>
      <c r="N196" s="28">
        <v>122.33666666666666</v>
      </c>
    </row>
    <row r="197" spans="1:14" x14ac:dyDescent="0.25">
      <c r="A197" s="26" t="s">
        <v>197</v>
      </c>
      <c r="B197" s="28">
        <v>22.99</v>
      </c>
      <c r="D197" s="26" t="s">
        <v>197</v>
      </c>
      <c r="E197" s="28">
        <v>1</v>
      </c>
      <c r="M197" s="26" t="s">
        <v>197</v>
      </c>
      <c r="N197" s="28">
        <v>22.99</v>
      </c>
    </row>
    <row r="198" spans="1:14" x14ac:dyDescent="0.25">
      <c r="A198" s="26" t="s">
        <v>198</v>
      </c>
      <c r="B198" s="28">
        <v>380.27</v>
      </c>
      <c r="D198" s="26" t="s">
        <v>198</v>
      </c>
      <c r="E198" s="28">
        <v>20</v>
      </c>
      <c r="M198" s="26" t="s">
        <v>198</v>
      </c>
      <c r="N198" s="28">
        <v>380.27</v>
      </c>
    </row>
    <row r="199" spans="1:14" x14ac:dyDescent="0.25">
      <c r="A199" s="26" t="s">
        <v>199</v>
      </c>
      <c r="B199" s="28">
        <v>384.23</v>
      </c>
      <c r="D199" s="26" t="s">
        <v>199</v>
      </c>
      <c r="E199" s="28">
        <v>20</v>
      </c>
      <c r="M199" s="26" t="s">
        <v>199</v>
      </c>
      <c r="N199" s="28">
        <v>192.11500000000001</v>
      </c>
    </row>
    <row r="200" spans="1:14" x14ac:dyDescent="0.25">
      <c r="A200" s="26" t="s">
        <v>201</v>
      </c>
      <c r="B200" s="28">
        <v>215.35000000000002</v>
      </c>
      <c r="D200" s="26" t="s">
        <v>201</v>
      </c>
      <c r="E200" s="28">
        <v>14</v>
      </c>
      <c r="M200" s="26" t="s">
        <v>201</v>
      </c>
      <c r="N200" s="28">
        <v>71.783333333333346</v>
      </c>
    </row>
    <row r="201" spans="1:14" x14ac:dyDescent="0.25">
      <c r="A201" s="26" t="s">
        <v>202</v>
      </c>
      <c r="B201" s="28">
        <v>301.01</v>
      </c>
      <c r="D201" s="26" t="s">
        <v>202</v>
      </c>
      <c r="E201" s="28">
        <v>19</v>
      </c>
      <c r="M201" s="26" t="s">
        <v>202</v>
      </c>
      <c r="N201" s="28">
        <v>100.33666666666666</v>
      </c>
    </row>
    <row r="202" spans="1:14" x14ac:dyDescent="0.25">
      <c r="A202" s="26" t="s">
        <v>203</v>
      </c>
      <c r="B202" s="28">
        <v>88.2</v>
      </c>
      <c r="D202" s="26" t="s">
        <v>203</v>
      </c>
      <c r="E202" s="28">
        <v>6</v>
      </c>
      <c r="M202" s="26" t="s">
        <v>203</v>
      </c>
      <c r="N202" s="28">
        <v>88.2</v>
      </c>
    </row>
    <row r="203" spans="1:14" x14ac:dyDescent="0.25">
      <c r="A203" s="26" t="s">
        <v>204</v>
      </c>
      <c r="B203" s="28">
        <v>383.90999999999997</v>
      </c>
      <c r="D203" s="26" t="s">
        <v>204</v>
      </c>
      <c r="E203" s="28">
        <v>16</v>
      </c>
      <c r="M203" s="26" t="s">
        <v>204</v>
      </c>
      <c r="N203" s="28">
        <v>191.95499999999998</v>
      </c>
    </row>
    <row r="204" spans="1:14" x14ac:dyDescent="0.25">
      <c r="A204" s="26" t="s">
        <v>205</v>
      </c>
      <c r="B204" s="28">
        <v>279.99</v>
      </c>
      <c r="D204" s="26" t="s">
        <v>205</v>
      </c>
      <c r="E204" s="28">
        <v>12</v>
      </c>
      <c r="M204" s="26" t="s">
        <v>205</v>
      </c>
      <c r="N204" s="28">
        <v>139.995</v>
      </c>
    </row>
    <row r="205" spans="1:14" x14ac:dyDescent="0.25">
      <c r="A205" s="26" t="s">
        <v>206</v>
      </c>
      <c r="B205" s="28">
        <v>585.74</v>
      </c>
      <c r="D205" s="26" t="s">
        <v>206</v>
      </c>
      <c r="E205" s="28">
        <v>40</v>
      </c>
      <c r="M205" s="26" t="s">
        <v>206</v>
      </c>
      <c r="N205" s="28">
        <v>195.24666666666667</v>
      </c>
    </row>
    <row r="206" spans="1:14" x14ac:dyDescent="0.25">
      <c r="A206" s="26" t="s">
        <v>207</v>
      </c>
      <c r="B206" s="28">
        <v>406.29</v>
      </c>
      <c r="D206" s="26" t="s">
        <v>207</v>
      </c>
      <c r="E206" s="28">
        <v>21</v>
      </c>
      <c r="M206" s="26" t="s">
        <v>207</v>
      </c>
      <c r="N206" s="28">
        <v>203.14500000000001</v>
      </c>
    </row>
    <row r="207" spans="1:14" x14ac:dyDescent="0.25">
      <c r="A207" s="26" t="s">
        <v>208</v>
      </c>
      <c r="B207" s="28">
        <v>276.8</v>
      </c>
      <c r="D207" s="26" t="s">
        <v>208</v>
      </c>
      <c r="E207" s="28">
        <v>23</v>
      </c>
      <c r="M207" s="26" t="s">
        <v>208</v>
      </c>
      <c r="N207" s="28">
        <v>138.4</v>
      </c>
    </row>
    <row r="208" spans="1:14" x14ac:dyDescent="0.25">
      <c r="A208" s="26" t="s">
        <v>209</v>
      </c>
      <c r="B208" s="28">
        <v>78.790000000000006</v>
      </c>
      <c r="D208" s="26" t="s">
        <v>209</v>
      </c>
      <c r="E208" s="28">
        <v>8</v>
      </c>
      <c r="M208" s="26" t="s">
        <v>209</v>
      </c>
      <c r="N208" s="28">
        <v>78.790000000000006</v>
      </c>
    </row>
    <row r="209" spans="1:14" x14ac:dyDescent="0.25">
      <c r="A209" s="26" t="s">
        <v>210</v>
      </c>
      <c r="B209" s="28">
        <v>97.52</v>
      </c>
      <c r="D209" s="26" t="s">
        <v>210</v>
      </c>
      <c r="E209" s="28">
        <v>5</v>
      </c>
      <c r="M209" s="26" t="s">
        <v>210</v>
      </c>
      <c r="N209" s="28">
        <v>97.52</v>
      </c>
    </row>
    <row r="210" spans="1:14" x14ac:dyDescent="0.25">
      <c r="A210" s="26" t="s">
        <v>211</v>
      </c>
      <c r="B210" s="28">
        <v>48.19</v>
      </c>
      <c r="D210" s="26" t="s">
        <v>211</v>
      </c>
      <c r="E210" s="28">
        <v>2</v>
      </c>
      <c r="M210" s="26" t="s">
        <v>211</v>
      </c>
      <c r="N210" s="28">
        <v>48.19</v>
      </c>
    </row>
    <row r="211" spans="1:14" x14ac:dyDescent="0.25">
      <c r="A211" s="26" t="s">
        <v>212</v>
      </c>
      <c r="B211" s="28">
        <v>622.88</v>
      </c>
      <c r="D211" s="26" t="s">
        <v>212</v>
      </c>
      <c r="E211" s="28">
        <v>29</v>
      </c>
      <c r="M211" s="26" t="s">
        <v>212</v>
      </c>
      <c r="N211" s="28">
        <v>311.44</v>
      </c>
    </row>
    <row r="212" spans="1:14" x14ac:dyDescent="0.25">
      <c r="A212" s="26" t="s">
        <v>213</v>
      </c>
      <c r="B212" s="28">
        <v>163.5</v>
      </c>
      <c r="D212" s="26" t="s">
        <v>213</v>
      </c>
      <c r="E212" s="28">
        <v>7</v>
      </c>
      <c r="M212" s="26" t="s">
        <v>213</v>
      </c>
      <c r="N212" s="28">
        <v>163.5</v>
      </c>
    </row>
    <row r="213" spans="1:14" x14ac:dyDescent="0.25">
      <c r="A213" s="26" t="s">
        <v>214</v>
      </c>
      <c r="B213" s="28">
        <v>436.52</v>
      </c>
      <c r="D213" s="26" t="s">
        <v>214</v>
      </c>
      <c r="E213" s="28">
        <v>21</v>
      </c>
      <c r="M213" s="26" t="s">
        <v>214</v>
      </c>
      <c r="N213" s="28">
        <v>218.26</v>
      </c>
    </row>
    <row r="214" spans="1:14" x14ac:dyDescent="0.25">
      <c r="A214" s="26" t="s">
        <v>215</v>
      </c>
      <c r="B214" s="28">
        <v>146.37</v>
      </c>
      <c r="D214" s="26" t="s">
        <v>215</v>
      </c>
      <c r="E214" s="28">
        <v>7</v>
      </c>
      <c r="M214" s="26" t="s">
        <v>215</v>
      </c>
      <c r="N214" s="28">
        <v>146.37</v>
      </c>
    </row>
    <row r="215" spans="1:14" x14ac:dyDescent="0.25">
      <c r="A215" s="26" t="s">
        <v>216</v>
      </c>
      <c r="B215" s="28">
        <v>335.13</v>
      </c>
      <c r="D215" s="26" t="s">
        <v>216</v>
      </c>
      <c r="E215" s="28">
        <v>15</v>
      </c>
      <c r="M215" s="26" t="s">
        <v>216</v>
      </c>
      <c r="N215" s="28">
        <v>167.565</v>
      </c>
    </row>
    <row r="216" spans="1:14" x14ac:dyDescent="0.25">
      <c r="A216" s="26" t="s">
        <v>217</v>
      </c>
      <c r="B216" s="28">
        <v>625.55999999999995</v>
      </c>
      <c r="D216" s="26" t="s">
        <v>217</v>
      </c>
      <c r="E216" s="28">
        <v>53</v>
      </c>
      <c r="M216" s="26" t="s">
        <v>217</v>
      </c>
      <c r="N216" s="28">
        <v>156.38999999999999</v>
      </c>
    </row>
    <row r="217" spans="1:14" x14ac:dyDescent="0.25">
      <c r="A217" s="26" t="s">
        <v>218</v>
      </c>
      <c r="B217" s="28">
        <v>745.96</v>
      </c>
      <c r="D217" s="26" t="s">
        <v>218</v>
      </c>
      <c r="E217" s="28">
        <v>39</v>
      </c>
      <c r="M217" s="26" t="s">
        <v>218</v>
      </c>
      <c r="N217" s="28">
        <v>248.65333333333334</v>
      </c>
    </row>
    <row r="218" spans="1:14" x14ac:dyDescent="0.25">
      <c r="A218" s="26" t="s">
        <v>219</v>
      </c>
      <c r="B218" s="28">
        <v>112.49</v>
      </c>
      <c r="D218" s="26" t="s">
        <v>219</v>
      </c>
      <c r="E218" s="28">
        <v>6</v>
      </c>
      <c r="M218" s="26" t="s">
        <v>219</v>
      </c>
      <c r="N218" s="28">
        <v>112.49</v>
      </c>
    </row>
    <row r="219" spans="1:14" x14ac:dyDescent="0.25">
      <c r="A219" s="26" t="s">
        <v>220</v>
      </c>
      <c r="B219" s="28">
        <v>472.1</v>
      </c>
      <c r="D219" s="26" t="s">
        <v>220</v>
      </c>
      <c r="E219" s="28">
        <v>32</v>
      </c>
      <c r="M219" s="26" t="s">
        <v>220</v>
      </c>
      <c r="N219" s="28">
        <v>157.36666666666667</v>
      </c>
    </row>
    <row r="220" spans="1:14" x14ac:dyDescent="0.25">
      <c r="A220" s="26" t="s">
        <v>221</v>
      </c>
      <c r="B220" s="28">
        <v>188.06</v>
      </c>
      <c r="D220" s="26" t="s">
        <v>221</v>
      </c>
      <c r="E220" s="28">
        <v>9</v>
      </c>
      <c r="M220" s="26" t="s">
        <v>221</v>
      </c>
      <c r="N220" s="28">
        <v>188.06</v>
      </c>
    </row>
    <row r="221" spans="1:14" x14ac:dyDescent="0.25">
      <c r="A221" s="26" t="s">
        <v>222</v>
      </c>
      <c r="B221" s="28">
        <v>270.74</v>
      </c>
      <c r="D221" s="26" t="s">
        <v>222</v>
      </c>
      <c r="E221" s="28">
        <v>12</v>
      </c>
      <c r="M221" s="26" t="s">
        <v>222</v>
      </c>
      <c r="N221" s="28">
        <v>270.74</v>
      </c>
    </row>
    <row r="222" spans="1:14" x14ac:dyDescent="0.25">
      <c r="A222" s="26" t="s">
        <v>35</v>
      </c>
      <c r="B222" s="28">
        <v>58929.28999999995</v>
      </c>
      <c r="D222" s="26" t="s">
        <v>35</v>
      </c>
      <c r="E222" s="28">
        <v>3488</v>
      </c>
      <c r="M222" s="26" t="s">
        <v>35</v>
      </c>
      <c r="N222" s="28">
        <v>176.96483483483468</v>
      </c>
    </row>
  </sheetData>
  <pageMargins left="0.7" right="0.7" top="0.75" bottom="0.75" header="0.3" footer="0.3"/>
  <tableParts count="1">
    <tablePart r:id="rId19"/>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0A5ED-2B43-48DC-9BA3-81EFC6B3F122}">
  <dimension ref="A1"/>
  <sheetViews>
    <sheetView workbookViewId="0"/>
  </sheetViews>
  <sheetFormatPr defaultRowHeight="15" x14ac:dyDescent="0.25"/>
  <cols>
    <col min="1" max="16384" width="9.140625" style="3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6FAEE-83A7-4A62-90DA-23ABBE428C18}">
  <dimension ref="A1"/>
  <sheetViews>
    <sheetView workbookViewId="0"/>
  </sheetViews>
  <sheetFormatPr defaultRowHeight="15" x14ac:dyDescent="0.25"/>
  <cols>
    <col min="1" max="16384" width="9.140625" style="3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6969F-1547-4105-964C-C15BF0E9F6A5}">
  <dimension ref="A1:A19"/>
  <sheetViews>
    <sheetView tabSelected="1" workbookViewId="0">
      <selection activeCell="I18" sqref="I18"/>
    </sheetView>
  </sheetViews>
  <sheetFormatPr defaultRowHeight="15" x14ac:dyDescent="0.25"/>
  <cols>
    <col min="1" max="16384" width="9.140625" style="32"/>
  </cols>
  <sheetData>
    <row r="1" spans="1:1" ht="20.25" x14ac:dyDescent="0.3">
      <c r="A1" s="33"/>
    </row>
    <row r="2" spans="1:1" ht="18.75" x14ac:dyDescent="0.3">
      <c r="A2" s="34"/>
    </row>
    <row r="3" spans="1:1" ht="18.75" x14ac:dyDescent="0.3">
      <c r="A3" s="34"/>
    </row>
    <row r="4" spans="1:1" ht="18.75" x14ac:dyDescent="0.3">
      <c r="A4" s="34"/>
    </row>
    <row r="5" spans="1:1" ht="18.75" x14ac:dyDescent="0.3">
      <c r="A5" s="34"/>
    </row>
    <row r="6" spans="1:1" ht="18.75" x14ac:dyDescent="0.3">
      <c r="A6" s="34"/>
    </row>
    <row r="7" spans="1:1" ht="18.75" x14ac:dyDescent="0.3">
      <c r="A7" s="34"/>
    </row>
    <row r="8" spans="1:1" ht="18.75" x14ac:dyDescent="0.3">
      <c r="A8" s="34"/>
    </row>
    <row r="9" spans="1:1" ht="18.75" x14ac:dyDescent="0.3">
      <c r="A9" s="34"/>
    </row>
    <row r="10" spans="1:1" ht="18.75" x14ac:dyDescent="0.3">
      <c r="A10" s="34"/>
    </row>
    <row r="11" spans="1:1" ht="18.75" x14ac:dyDescent="0.3">
      <c r="A11" s="34"/>
    </row>
    <row r="13" spans="1:1" ht="20.25" x14ac:dyDescent="0.3">
      <c r="A13" s="33"/>
    </row>
    <row r="14" spans="1:1" ht="18.75" x14ac:dyDescent="0.3">
      <c r="A14" s="34"/>
    </row>
    <row r="15" spans="1:1" ht="18.75" x14ac:dyDescent="0.3">
      <c r="A15" s="34"/>
    </row>
    <row r="16" spans="1:1" ht="18.75" x14ac:dyDescent="0.3">
      <c r="A16" s="34"/>
    </row>
    <row r="17" spans="1:1" ht="18.75" x14ac:dyDescent="0.3">
      <c r="A17" s="34"/>
    </row>
    <row r="18" spans="1:1" ht="18.75" x14ac:dyDescent="0.3">
      <c r="A18" s="34"/>
    </row>
    <row r="19" spans="1:1" ht="18.75" x14ac:dyDescent="0.3">
      <c r="A19" s="3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Home</vt:lpstr>
      <vt:lpstr>Raw_data</vt:lpstr>
      <vt:lpstr>Cleanning_data</vt:lpstr>
      <vt:lpstr>Data_analysis</vt:lpstr>
      <vt:lpstr>Dashboardtab1</vt:lpstr>
      <vt:lpstr>Dashboardtab2</vt:lpstr>
      <vt:lpstr>Insights_and_Recomendations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NGUYỄN KHẮC HƯNG</cp:lastModifiedBy>
  <dcterms:created xsi:type="dcterms:W3CDTF">2026-03-24T10:20:28Z</dcterms:created>
  <dcterms:modified xsi:type="dcterms:W3CDTF">2026-03-25T10:04:29Z</dcterms:modified>
</cp:coreProperties>
</file>